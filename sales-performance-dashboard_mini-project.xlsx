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_practices\"/>
    </mc:Choice>
  </mc:AlternateContent>
  <xr:revisionPtr revIDLastSave="0" documentId="13_ncr:1_{C54E79A4-73E4-4163-AAB4-B647D8A5A576}" xr6:coauthVersionLast="47" xr6:coauthVersionMax="47" xr10:uidLastSave="{00000000-0000-0000-0000-000000000000}"/>
  <bookViews>
    <workbookView xWindow="-108" yWindow="-108" windowWidth="23256" windowHeight="12456" activeTab="2" xr2:uid="{00000000-000D-0000-FFFF-FFFF00000000}"/>
  </bookViews>
  <sheets>
    <sheet name="Customers" sheetId="1" r:id="rId1"/>
    <sheet name="Products" sheetId="2" r:id="rId2"/>
    <sheet name="Orders" sheetId="3" r:id="rId3"/>
    <sheet name="Analysis" sheetId="6" r:id="rId4"/>
    <sheet name="Pivot" sheetId="12" r:id="rId5"/>
    <sheet name="Dashboard" sheetId="13" r:id="rId6"/>
  </sheets>
  <definedNames>
    <definedName name="_xlnm._FilterDatabase" localSheetId="3" hidden="1">Analysis!$B$1:$B$31</definedName>
    <definedName name="Slicer_Category">#N/A</definedName>
    <definedName name="Slicer_City">#N/A</definedName>
    <definedName name="Slicer_Segment">#N/A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3" l="1"/>
  <c r="B3" i="13"/>
  <c r="B2" i="13"/>
  <c r="T25" i="6"/>
  <c r="T26" i="6"/>
  <c r="T27" i="6"/>
  <c r="T28" i="6"/>
  <c r="T29" i="6"/>
  <c r="T30" i="6"/>
  <c r="T31" i="6"/>
  <c r="T17" i="6"/>
  <c r="T18" i="6"/>
  <c r="T19" i="6"/>
  <c r="T20" i="6"/>
  <c r="T21" i="6"/>
  <c r="T22" i="6"/>
  <c r="T23" i="6"/>
  <c r="T24" i="6"/>
  <c r="T3" i="6"/>
  <c r="T4" i="6"/>
  <c r="T5" i="6"/>
  <c r="T6" i="6"/>
  <c r="T7" i="6"/>
  <c r="T8" i="6"/>
  <c r="T9" i="6"/>
  <c r="T10" i="6"/>
  <c r="T11" i="6"/>
  <c r="T12" i="6"/>
  <c r="T13" i="6"/>
  <c r="T14" i="6"/>
  <c r="T15" i="6"/>
  <c r="T16" i="6"/>
  <c r="T2" i="6"/>
  <c r="S20" i="6"/>
  <c r="S21" i="6"/>
  <c r="S22" i="6"/>
  <c r="S23" i="6"/>
  <c r="S24" i="6"/>
  <c r="S25" i="6"/>
  <c r="S26" i="6"/>
  <c r="S27" i="6"/>
  <c r="S28" i="6"/>
  <c r="S29" i="6"/>
  <c r="S30" i="6"/>
  <c r="S31" i="6"/>
  <c r="S3" i="6"/>
  <c r="S4" i="6"/>
  <c r="S5" i="6"/>
  <c r="S6" i="6"/>
  <c r="S7" i="6"/>
  <c r="S8" i="6"/>
  <c r="S9" i="6"/>
  <c r="S10" i="6"/>
  <c r="S11" i="6"/>
  <c r="S12" i="6"/>
  <c r="S13" i="6"/>
  <c r="S14" i="6"/>
  <c r="S15" i="6"/>
  <c r="S16" i="6"/>
  <c r="S17" i="6"/>
  <c r="S18" i="6"/>
  <c r="S19" i="6"/>
  <c r="S2" i="6"/>
  <c r="Q18" i="6"/>
  <c r="Q19" i="6"/>
  <c r="Q20" i="6"/>
  <c r="Q21" i="6"/>
  <c r="Q22" i="6"/>
  <c r="Q23" i="6"/>
  <c r="Q24" i="6"/>
  <c r="Q25" i="6"/>
  <c r="Q26" i="6"/>
  <c r="Q27" i="6"/>
  <c r="Q28" i="6"/>
  <c r="Q29" i="6"/>
  <c r="Q30" i="6"/>
  <c r="Q31" i="6"/>
  <c r="Q3" i="6"/>
  <c r="Q4" i="6"/>
  <c r="Q5" i="6"/>
  <c r="Q6" i="6"/>
  <c r="Q7" i="6"/>
  <c r="Q8" i="6"/>
  <c r="Q9" i="6"/>
  <c r="Q10" i="6"/>
  <c r="Q11" i="6"/>
  <c r="Q12" i="6"/>
  <c r="Q13" i="6"/>
  <c r="Q14" i="6"/>
  <c r="Q15" i="6"/>
  <c r="Q16" i="6"/>
  <c r="Q17" i="6"/>
  <c r="Q2" i="6"/>
  <c r="C22" i="6"/>
  <c r="C23" i="6"/>
  <c r="C24" i="6"/>
  <c r="C25" i="6"/>
  <c r="C26" i="6"/>
  <c r="C27" i="6"/>
  <c r="C28" i="6"/>
  <c r="C29" i="6"/>
  <c r="C30" i="6"/>
  <c r="C31" i="6"/>
  <c r="C3" i="6"/>
  <c r="C4" i="6"/>
  <c r="C5" i="6"/>
  <c r="C6" i="6"/>
  <c r="C7" i="6"/>
  <c r="C8" i="6"/>
  <c r="C9" i="6"/>
  <c r="C10" i="6"/>
  <c r="C11" i="6"/>
  <c r="C12" i="6"/>
  <c r="C13" i="6"/>
  <c r="C14" i="6"/>
  <c r="C15" i="6"/>
  <c r="C16" i="6"/>
  <c r="C17" i="6"/>
  <c r="C18" i="6"/>
  <c r="C19" i="6"/>
  <c r="C20" i="6"/>
  <c r="C21" i="6"/>
  <c r="C2" i="6"/>
  <c r="D14" i="6"/>
  <c r="D15" i="6"/>
  <c r="D16" i="6"/>
  <c r="D17" i="6"/>
  <c r="D18" i="6"/>
  <c r="D19" i="6"/>
  <c r="D20" i="6"/>
  <c r="D21" i="6"/>
  <c r="D22" i="6"/>
  <c r="D23" i="6"/>
  <c r="D24" i="6"/>
  <c r="D25" i="6"/>
  <c r="D26" i="6"/>
  <c r="D27" i="6"/>
  <c r="D28" i="6"/>
  <c r="D29" i="6"/>
  <c r="D30" i="6"/>
  <c r="D31" i="6"/>
  <c r="D3" i="6"/>
  <c r="D4" i="6"/>
  <c r="D5" i="6"/>
  <c r="D6" i="6"/>
  <c r="D7" i="6"/>
  <c r="D8" i="6"/>
  <c r="D9" i="6"/>
  <c r="D10" i="6"/>
  <c r="D11" i="6"/>
  <c r="D12" i="6"/>
  <c r="D13" i="6"/>
  <c r="D2" i="6"/>
  <c r="H28" i="6"/>
  <c r="H29" i="6"/>
  <c r="H30" i="6"/>
  <c r="H31" i="6"/>
  <c r="H3" i="6"/>
  <c r="H4" i="6"/>
  <c r="H5" i="6"/>
  <c r="H6" i="6"/>
  <c r="H7" i="6"/>
  <c r="H8" i="6"/>
  <c r="H9" i="6"/>
  <c r="H10" i="6"/>
  <c r="H11" i="6"/>
  <c r="H12" i="6"/>
  <c r="H13" i="6"/>
  <c r="H14" i="6"/>
  <c r="H15" i="6"/>
  <c r="H16" i="6"/>
  <c r="H17" i="6"/>
  <c r="H18" i="6"/>
  <c r="H19" i="6"/>
  <c r="H20" i="6"/>
  <c r="H21" i="6"/>
  <c r="H22" i="6"/>
  <c r="H23" i="6"/>
  <c r="H24" i="6"/>
  <c r="H25" i="6"/>
  <c r="H26" i="6"/>
  <c r="H27" i="6"/>
  <c r="H2" i="6"/>
  <c r="G28" i="6"/>
  <c r="G29" i="6"/>
  <c r="G30" i="6"/>
  <c r="G31" i="6"/>
  <c r="G3" i="6"/>
  <c r="G4" i="6"/>
  <c r="G5" i="6"/>
  <c r="G6" i="6"/>
  <c r="G7" i="6"/>
  <c r="G8" i="6"/>
  <c r="G9" i="6"/>
  <c r="G10" i="6"/>
  <c r="G11" i="6"/>
  <c r="G12" i="6"/>
  <c r="G13" i="6"/>
  <c r="G14" i="6"/>
  <c r="G15" i="6"/>
  <c r="G16" i="6"/>
  <c r="G17" i="6"/>
  <c r="G18" i="6"/>
  <c r="G19" i="6"/>
  <c r="G20" i="6"/>
  <c r="G21" i="6"/>
  <c r="G22" i="6"/>
  <c r="G23" i="6"/>
  <c r="G24" i="6"/>
  <c r="G25" i="6"/>
  <c r="G26" i="6"/>
  <c r="G27" i="6"/>
  <c r="G2" i="6"/>
  <c r="F27" i="6"/>
  <c r="F28" i="6"/>
  <c r="F29" i="6"/>
  <c r="F30" i="6"/>
  <c r="F31" i="6"/>
  <c r="F3" i="6"/>
  <c r="F4" i="6"/>
  <c r="F5" i="6"/>
  <c r="F6" i="6"/>
  <c r="F7" i="6"/>
  <c r="F8" i="6"/>
  <c r="F9" i="6"/>
  <c r="F10" i="6"/>
  <c r="F11" i="6"/>
  <c r="F12" i="6"/>
  <c r="F13" i="6"/>
  <c r="F14" i="6"/>
  <c r="F15" i="6"/>
  <c r="F16" i="6"/>
  <c r="F17" i="6"/>
  <c r="F18" i="6"/>
  <c r="F19" i="6"/>
  <c r="F20" i="6"/>
  <c r="F21" i="6"/>
  <c r="F22" i="6"/>
  <c r="F23" i="6"/>
  <c r="F24" i="6"/>
  <c r="F25" i="6"/>
  <c r="F26" i="6"/>
  <c r="F2" i="6"/>
  <c r="P31" i="6"/>
  <c r="L31" i="6" s="1"/>
  <c r="R31" i="6" s="1"/>
  <c r="O31" i="6"/>
  <c r="J31" i="6"/>
  <c r="P30" i="6"/>
  <c r="L30" i="6" s="1"/>
  <c r="R30" i="6" s="1"/>
  <c r="O30" i="6"/>
  <c r="J30" i="6"/>
  <c r="P29" i="6"/>
  <c r="O29" i="6"/>
  <c r="L29" i="6"/>
  <c r="R29" i="6" s="1"/>
  <c r="J29" i="6"/>
  <c r="P28" i="6"/>
  <c r="L28" i="6" s="1"/>
  <c r="R28" i="6" s="1"/>
  <c r="O28" i="6"/>
  <c r="J28" i="6"/>
  <c r="P27" i="6"/>
  <c r="L27" i="6" s="1"/>
  <c r="R27" i="6" s="1"/>
  <c r="O27" i="6"/>
  <c r="J27" i="6"/>
  <c r="P26" i="6"/>
  <c r="L26" i="6" s="1"/>
  <c r="R26" i="6" s="1"/>
  <c r="O26" i="6"/>
  <c r="J26" i="6"/>
  <c r="P25" i="6"/>
  <c r="L25" i="6" s="1"/>
  <c r="R25" i="6" s="1"/>
  <c r="O25" i="6"/>
  <c r="J25" i="6"/>
  <c r="P24" i="6"/>
  <c r="L24" i="6" s="1"/>
  <c r="R24" i="6" s="1"/>
  <c r="O24" i="6"/>
  <c r="J24" i="6"/>
  <c r="P23" i="6"/>
  <c r="L23" i="6" s="1"/>
  <c r="R23" i="6" s="1"/>
  <c r="O23" i="6"/>
  <c r="J23" i="6"/>
  <c r="P22" i="6"/>
  <c r="L22" i="6" s="1"/>
  <c r="R22" i="6" s="1"/>
  <c r="O22" i="6"/>
  <c r="J22" i="6"/>
  <c r="P21" i="6"/>
  <c r="L21" i="6" s="1"/>
  <c r="R21" i="6" s="1"/>
  <c r="O21" i="6"/>
  <c r="J21" i="6"/>
  <c r="P20" i="6"/>
  <c r="L20" i="6" s="1"/>
  <c r="R20" i="6" s="1"/>
  <c r="O20" i="6"/>
  <c r="J20" i="6"/>
  <c r="P19" i="6"/>
  <c r="L19" i="6" s="1"/>
  <c r="R19" i="6" s="1"/>
  <c r="O19" i="6"/>
  <c r="J19" i="6"/>
  <c r="P18" i="6"/>
  <c r="L18" i="6" s="1"/>
  <c r="R18" i="6" s="1"/>
  <c r="O18" i="6"/>
  <c r="J18" i="6"/>
  <c r="P17" i="6"/>
  <c r="L17" i="6" s="1"/>
  <c r="R17" i="6" s="1"/>
  <c r="O17" i="6"/>
  <c r="J17" i="6"/>
  <c r="P16" i="6"/>
  <c r="L16" i="6" s="1"/>
  <c r="R16" i="6" s="1"/>
  <c r="O16" i="6"/>
  <c r="J16" i="6"/>
  <c r="P15" i="6"/>
  <c r="L15" i="6" s="1"/>
  <c r="R15" i="6" s="1"/>
  <c r="O15" i="6"/>
  <c r="J15" i="6"/>
  <c r="P14" i="6"/>
  <c r="L14" i="6" s="1"/>
  <c r="R14" i="6" s="1"/>
  <c r="O14" i="6"/>
  <c r="J14" i="6"/>
  <c r="P13" i="6"/>
  <c r="L13" i="6" s="1"/>
  <c r="R13" i="6" s="1"/>
  <c r="O13" i="6"/>
  <c r="J13" i="6"/>
  <c r="P12" i="6"/>
  <c r="L12" i="6" s="1"/>
  <c r="R12" i="6" s="1"/>
  <c r="O12" i="6"/>
  <c r="J12" i="6"/>
  <c r="P11" i="6"/>
  <c r="L11" i="6" s="1"/>
  <c r="R11" i="6" s="1"/>
  <c r="O11" i="6"/>
  <c r="J11" i="6"/>
  <c r="P10" i="6"/>
  <c r="L10" i="6" s="1"/>
  <c r="R10" i="6" s="1"/>
  <c r="O10" i="6"/>
  <c r="J10" i="6"/>
  <c r="P9" i="6"/>
  <c r="L9" i="6" s="1"/>
  <c r="R9" i="6" s="1"/>
  <c r="O9" i="6"/>
  <c r="J9" i="6"/>
  <c r="P8" i="6"/>
  <c r="L8" i="6" s="1"/>
  <c r="R8" i="6" s="1"/>
  <c r="O8" i="6"/>
  <c r="J8" i="6"/>
  <c r="P7" i="6"/>
  <c r="L7" i="6" s="1"/>
  <c r="R7" i="6" s="1"/>
  <c r="O7" i="6"/>
  <c r="J7" i="6"/>
  <c r="P6" i="6"/>
  <c r="L6" i="6" s="1"/>
  <c r="R6" i="6" s="1"/>
  <c r="O6" i="6"/>
  <c r="J6" i="6"/>
  <c r="P5" i="6"/>
  <c r="L5" i="6" s="1"/>
  <c r="R5" i="6" s="1"/>
  <c r="O5" i="6"/>
  <c r="J5" i="6"/>
  <c r="P4" i="6"/>
  <c r="L4" i="6" s="1"/>
  <c r="R4" i="6" s="1"/>
  <c r="O4" i="6"/>
  <c r="P3" i="6"/>
  <c r="L3" i="6" s="1"/>
  <c r="R3" i="6" s="1"/>
  <c r="O3" i="6"/>
  <c r="P2" i="6"/>
  <c r="L2" i="6" s="1"/>
  <c r="R2" i="6" s="1"/>
  <c r="O2" i="6"/>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2" i="3"/>
  <c r="E30" i="3"/>
  <c r="E31" i="3"/>
  <c r="E6" i="3"/>
  <c r="E7" i="3"/>
  <c r="E8" i="3"/>
  <c r="E9" i="3"/>
  <c r="E10" i="3"/>
  <c r="E11" i="3"/>
  <c r="E12" i="3"/>
  <c r="E13" i="3"/>
  <c r="E14" i="3"/>
  <c r="E15" i="3"/>
  <c r="E16" i="3"/>
  <c r="E17" i="3"/>
  <c r="E18" i="3"/>
  <c r="E19" i="3"/>
  <c r="E20" i="3"/>
  <c r="E21" i="3"/>
  <c r="E22" i="3"/>
  <c r="E23" i="3"/>
  <c r="E24" i="3"/>
  <c r="E25" i="3"/>
  <c r="E26" i="3"/>
  <c r="E27" i="3"/>
  <c r="E28" i="3"/>
  <c r="E29" i="3"/>
  <c r="E5" i="3"/>
  <c r="K2" i="3"/>
  <c r="K3" i="3"/>
  <c r="K4" i="3"/>
  <c r="K5" i="3"/>
  <c r="K6" i="3"/>
  <c r="K7" i="3"/>
  <c r="K8" i="3"/>
  <c r="K9" i="3"/>
  <c r="K10" i="3"/>
  <c r="K11" i="3"/>
  <c r="K12" i="3"/>
  <c r="K13" i="3"/>
  <c r="K15" i="3"/>
  <c r="K16" i="3"/>
  <c r="K17" i="3"/>
  <c r="K18" i="3"/>
  <c r="K19" i="3"/>
  <c r="K20" i="3"/>
  <c r="K21" i="3"/>
  <c r="K22" i="3"/>
  <c r="K23" i="3"/>
  <c r="K24" i="3"/>
  <c r="K25" i="3"/>
  <c r="K26" i="3"/>
  <c r="K27" i="3"/>
  <c r="K28" i="3"/>
  <c r="K29" i="3"/>
  <c r="K30" i="3"/>
  <c r="K31" i="3"/>
  <c r="K14"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alcChain>
</file>

<file path=xl/sharedStrings.xml><?xml version="1.0" encoding="utf-8"?>
<sst xmlns="http://schemas.openxmlformats.org/spreadsheetml/2006/main" count="305" uniqueCount="108">
  <si>
    <t>CustomerID</t>
  </si>
  <si>
    <t>CustomerName</t>
  </si>
  <si>
    <t>Segment</t>
  </si>
  <si>
    <t>City</t>
  </si>
  <si>
    <t>Minh Anh Co</t>
  </si>
  <si>
    <t>SME</t>
  </si>
  <si>
    <t>Hanoi</t>
  </si>
  <si>
    <t>Binh Trading</t>
  </si>
  <si>
    <t>Enterprise</t>
  </si>
  <si>
    <t>HCMC</t>
  </si>
  <si>
    <t>Le Chi Store</t>
  </si>
  <si>
    <t>Retail</t>
  </si>
  <si>
    <t>Da Nang</t>
  </si>
  <si>
    <t>Pham Group</t>
  </si>
  <si>
    <t>Duy Retail</t>
  </si>
  <si>
    <t>Can Tho</t>
  </si>
  <si>
    <t>Lan Office</t>
  </si>
  <si>
    <t>Hoang Tech</t>
  </si>
  <si>
    <t>Hai Phong</t>
  </si>
  <si>
    <t>An Solutions</t>
  </si>
  <si>
    <t>Kien Mart</t>
  </si>
  <si>
    <t>Hue</t>
  </si>
  <si>
    <t>Tu Anh Logistics</t>
  </si>
  <si>
    <t>Product</t>
  </si>
  <si>
    <t>StandardPrice</t>
  </si>
  <si>
    <t>Cost</t>
  </si>
  <si>
    <t>Category</t>
  </si>
  <si>
    <t>Laptop Pro 14</t>
  </si>
  <si>
    <t>Electronics</t>
  </si>
  <si>
    <t>Wireless Mouse</t>
  </si>
  <si>
    <t>27in Monitor</t>
  </si>
  <si>
    <t>Furniture</t>
  </si>
  <si>
    <t>OrderID</t>
  </si>
  <si>
    <t>OrderDate</t>
  </si>
  <si>
    <t>UnitPrice</t>
  </si>
  <si>
    <t>DiscountPct</t>
  </si>
  <si>
    <t>Salesperson</t>
  </si>
  <si>
    <t>OrderSize</t>
  </si>
  <si>
    <t>RevenueAfterDiscount</t>
  </si>
  <si>
    <t>An</t>
  </si>
  <si>
    <t>Binh</t>
  </si>
  <si>
    <t>Chi</t>
  </si>
  <si>
    <t>Duy</t>
  </si>
  <si>
    <t>Lan</t>
  </si>
  <si>
    <t>ProductID</t>
  </si>
  <si>
    <t>Huy</t>
  </si>
  <si>
    <t>Thanh Hoa</t>
  </si>
  <si>
    <t>Nguyen</t>
  </si>
  <si>
    <t>Vy</t>
  </si>
  <si>
    <t>Long An</t>
  </si>
  <si>
    <t>Trang Nguyen Store</t>
  </si>
  <si>
    <t>Khoa Pham Co</t>
  </si>
  <si>
    <t>Nghe An</t>
  </si>
  <si>
    <t>Laptop</t>
  </si>
  <si>
    <t>Chair Gaming</t>
  </si>
  <si>
    <t>Phone</t>
  </si>
  <si>
    <t>iPhone 14</t>
  </si>
  <si>
    <t>Samsung S22</t>
  </si>
  <si>
    <t>Xiaomi 13</t>
  </si>
  <si>
    <t>iPad Gen 9</t>
  </si>
  <si>
    <t>Tablet</t>
  </si>
  <si>
    <t>iPad Air</t>
  </si>
  <si>
    <t>Galaxy Tab S8</t>
  </si>
  <si>
    <t>MacBook Air M1</t>
  </si>
  <si>
    <t>Dell XPS 13</t>
  </si>
  <si>
    <t>MacBook Pro M2</t>
  </si>
  <si>
    <t>iPhone 13</t>
  </si>
  <si>
    <t>Quantity</t>
  </si>
  <si>
    <t>Hai</t>
  </si>
  <si>
    <t>Tram</t>
  </si>
  <si>
    <t>Thinh</t>
  </si>
  <si>
    <t>Ngoc</t>
  </si>
  <si>
    <t>Grand Total</t>
  </si>
  <si>
    <t>Jul</t>
  </si>
  <si>
    <t>Aug</t>
  </si>
  <si>
    <t>Sep</t>
  </si>
  <si>
    <t>Oct</t>
  </si>
  <si>
    <t>Nov</t>
  </si>
  <si>
    <t>Dec</t>
  </si>
  <si>
    <t>Profit</t>
  </si>
  <si>
    <t>Year</t>
  </si>
  <si>
    <t>Month</t>
  </si>
  <si>
    <t>ProfitMargin</t>
  </si>
  <si>
    <t>Revenue</t>
  </si>
  <si>
    <t>Mar</t>
  </si>
  <si>
    <t>Apr</t>
  </si>
  <si>
    <t>May</t>
  </si>
  <si>
    <t>Jan</t>
  </si>
  <si>
    <t>Feb</t>
  </si>
  <si>
    <t>Jun</t>
  </si>
  <si>
    <t xml:space="preserve">Moth </t>
  </si>
  <si>
    <t>Products</t>
  </si>
  <si>
    <t>RevenueADiscount</t>
  </si>
  <si>
    <t>Doanh thu theo tháng qua các năm</t>
  </si>
  <si>
    <t>Row Labels</t>
  </si>
  <si>
    <t xml:space="preserve"> Profit</t>
  </si>
  <si>
    <t>Loi nhuan theo danh muc san pham</t>
  </si>
  <si>
    <t>Top 5 san pham co doanh thu cao nhat</t>
  </si>
  <si>
    <t>Top 5 Salers ban tot nhat trong nam 2025</t>
  </si>
  <si>
    <t>Total Revenue</t>
  </si>
  <si>
    <t>KPI</t>
  </si>
  <si>
    <t>Total Profit</t>
  </si>
  <si>
    <t>Total Orders</t>
  </si>
  <si>
    <t>Doanh thu Laptop tăng mạnh vào tháng 6 do học sinh sinh viên có như cầu học tập, nhập học</t>
  </si>
  <si>
    <t>Dell XPS 13 là sản phẩm có doanh thu cao nhất với tổng doanh thu lên đến gần 1 tỷ đồng</t>
  </si>
  <si>
    <t>Category có lợi nhuận cao nhất ở thành phố Hồ Chí Minh là điện thoại  -&gt;  tập trung</t>
  </si>
  <si>
    <t>Segment SME (doanh nghiệp vừa và nhỏ) đóng góp phần lớn doanh thu</t>
  </si>
  <si>
    <t xml:space="preserve">Một số sản phẩm có doanh thu cao nhưng lợi nhuận thấp -&gt; xem lại giá bán và giá nhập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</si>
</sst>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yyyy\-mm\-dd"/>
  </numFmts>
  <fonts count="7" x14ac:knownFonts="1">
    <font>
      <sz val="11"/>
      <color theme="1"/>
      <name val="Calibri"/>
      <family val="2"/>
      <scheme val="minor"/>
    </font>
    <font>
      <b/>
      <sz val="11"/>
      <color rgb="FFFFFFFF"/>
      <name val="Calibri"/>
    </font>
    <font>
      <b/>
      <sz val="11"/>
      <color theme="0"/>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6"/>
      <color theme="0"/>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3"/>
        <bgColor indexed="64"/>
      </patternFill>
    </fill>
    <fill>
      <patternFill patternType="solid">
        <fgColor theme="0"/>
        <bgColor rgb="FF1F4E78"/>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43" fontId="4" fillId="0" borderId="0" applyFont="0" applyFill="0" applyBorder="0" applyAlignment="0" applyProtection="0"/>
  </cellStyleXfs>
  <cellXfs count="19">
    <xf numFmtId="0" fontId="0" fillId="0" borderId="0" xfId="0"/>
    <xf numFmtId="0" fontId="1" fillId="2" borderId="0" xfId="0" applyFont="1" applyFill="1" applyAlignment="1">
      <alignment horizontal="center"/>
    </xf>
    <xf numFmtId="164" fontId="0" fillId="0" borderId="0" xfId="0" applyNumberFormat="1"/>
    <xf numFmtId="10" fontId="0" fillId="0" borderId="0" xfId="0" applyNumberFormat="1"/>
    <xf numFmtId="4" fontId="0" fillId="0" borderId="0" xfId="0" applyNumberFormat="1"/>
    <xf numFmtId="0" fontId="2" fillId="3" borderId="0" xfId="0" applyFont="1" applyFill="1" applyAlignment="1">
      <alignment horizontal="center" vertical="center"/>
    </xf>
    <xf numFmtId="0" fontId="3" fillId="0" borderId="0" xfId="0" applyFont="1"/>
    <xf numFmtId="0" fontId="0" fillId="0" borderId="0" xfId="0" pivotButton="1"/>
    <xf numFmtId="0" fontId="0" fillId="0" borderId="0" xfId="0" applyAlignment="1">
      <alignment horizontal="left"/>
    </xf>
    <xf numFmtId="0" fontId="1" fillId="4" borderId="1" xfId="0" applyFon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center"/>
    </xf>
    <xf numFmtId="43" fontId="0" fillId="0" borderId="0" xfId="1" applyFont="1"/>
    <xf numFmtId="0" fontId="5" fillId="5" borderId="0" xfId="0" applyFont="1" applyFill="1"/>
    <xf numFmtId="0" fontId="5" fillId="6" borderId="0" xfId="0" applyFont="1" applyFill="1"/>
    <xf numFmtId="0" fontId="5" fillId="7" borderId="0" xfId="0" applyFont="1" applyFill="1"/>
    <xf numFmtId="0" fontId="0" fillId="0" borderId="0" xfId="0" applyNumberFormat="1"/>
    <xf numFmtId="0" fontId="6" fillId="3" borderId="0" xfId="0" applyFont="1" applyFill="1"/>
  </cellXfs>
  <cellStyles count="2">
    <cellStyle name="Comma" xfId="1" builtinId="3"/>
    <cellStyle name="Normal" xfId="0" builtinId="0"/>
  </cellStyles>
  <dxfs count="0"/>
  <tableStyles count="1" defaultTableStyle="TableStyleMedium9" defaultPivotStyle="PivotStyleLight16">
    <tableStyle name="Slicer Style 1" pivot="0" table="0" count="1" xr9:uid="{742EE94E-3137-44CB-AC60-E62475A92EEC}"/>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[mini_project.xlsx]Pivot!PivotTable1</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i="1">
                <a:solidFill>
                  <a:sysClr val="windowText" lastClr="000000"/>
                </a:solidFill>
              </a:rPr>
              <a:t>Revenue</a:t>
            </a:r>
            <a:r>
              <a:rPr lang="en-US" b="1" i="1" baseline="0">
                <a:solidFill>
                  <a:sysClr val="windowText" lastClr="000000"/>
                </a:solidFill>
              </a:rPr>
              <a:t> Trend</a:t>
            </a:r>
            <a:endParaRPr lang="en-US" b="1" i="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Jul</c:v>
                </c:pt>
                <c:pt idx="1">
                  <c:v>Jan</c:v>
                </c:pt>
                <c:pt idx="2">
                  <c:v>May</c:v>
                </c:pt>
                <c:pt idx="3">
                  <c:v>Mar</c:v>
                </c:pt>
                <c:pt idx="4">
                  <c:v>Sep</c:v>
                </c:pt>
                <c:pt idx="5">
                  <c:v>Apr</c:v>
                </c:pt>
                <c:pt idx="6">
                  <c:v>Feb</c:v>
                </c:pt>
                <c:pt idx="7">
                  <c:v>Dec</c:v>
                </c:pt>
                <c:pt idx="8">
                  <c:v>Aug</c:v>
                </c:pt>
                <c:pt idx="9">
                  <c:v>Jun</c:v>
                </c:pt>
                <c:pt idx="10">
                  <c:v>Oct</c:v>
                </c:pt>
                <c:pt idx="11">
                  <c:v>Nov</c:v>
                </c:pt>
              </c:strCache>
            </c:strRef>
          </c:cat>
          <c:val>
            <c:numRef>
              <c:f>Pivot!$B$4:$B$16</c:f>
              <c:numCache>
                <c:formatCode>#,##0.00</c:formatCode>
                <c:ptCount val="12"/>
                <c:pt idx="0">
                  <c:v>797800</c:v>
                </c:pt>
                <c:pt idx="1">
                  <c:v>610425</c:v>
                </c:pt>
                <c:pt idx="2">
                  <c:v>564930</c:v>
                </c:pt>
                <c:pt idx="3">
                  <c:v>410720</c:v>
                </c:pt>
                <c:pt idx="4">
                  <c:v>305550</c:v>
                </c:pt>
                <c:pt idx="5">
                  <c:v>249749.6</c:v>
                </c:pt>
                <c:pt idx="6">
                  <c:v>206280</c:v>
                </c:pt>
                <c:pt idx="7">
                  <c:v>119039.99999999999</c:v>
                </c:pt>
                <c:pt idx="8">
                  <c:v>30600</c:v>
                </c:pt>
                <c:pt idx="9">
                  <c:v>15312</c:v>
                </c:pt>
                <c:pt idx="10">
                  <c:v>14550</c:v>
                </c:pt>
                <c:pt idx="11">
                  <c:v>11200</c:v>
                </c:pt>
              </c:numCache>
            </c:numRef>
          </c:val>
          <c:smooth val="0"/>
          <c:extLst>
            <c:ext xmlns:c16="http://schemas.microsoft.com/office/drawing/2014/chart" uri="{C3380CC4-5D6E-409C-BE32-E72D297353CC}">
              <c16:uniqueId val="{00000000-338D-414C-A2B6-3323ECA887E4}"/>
            </c:ext>
          </c:extLst>
        </c:ser>
        <c:dLbls>
          <c:showLegendKey val="0"/>
          <c:showVal val="0"/>
          <c:showCatName val="0"/>
          <c:showSerName val="0"/>
          <c:showPercent val="0"/>
          <c:showBubbleSize val="0"/>
        </c:dLbls>
        <c:marker val="1"/>
        <c:smooth val="0"/>
        <c:axId val="1354902095"/>
        <c:axId val="1354906415"/>
      </c:lineChart>
      <c:catAx>
        <c:axId val="13549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06415"/>
        <c:crosses val="autoZero"/>
        <c:auto val="1"/>
        <c:lblAlgn val="ctr"/>
        <c:lblOffset val="100"/>
        <c:noMultiLvlLbl val="0"/>
      </c:catAx>
      <c:valAx>
        <c:axId val="1354906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0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[mini_project.xlsx]Pivot!PivotTable3</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Pivot!$E$15</c:f>
              <c:strCache>
                <c:ptCount val="1"/>
                <c:pt idx="0">
                  <c:v>Total</c:v>
                </c:pt>
              </c:strCache>
            </c:strRef>
          </c:tx>
          <c:spPr>
            <a:solidFill>
              <a:schemeClr val="accent1"/>
            </a:solidFill>
            <a:ln>
              <a:noFill/>
            </a:ln>
            <a:effectLst/>
          </c:spPr>
          <c:invertIfNegative val="0"/>
          <c:cat>
            <c:strRef>
              <c:f>Pivot!$D$16:$D$21</c:f>
              <c:strCache>
                <c:ptCount val="5"/>
                <c:pt idx="0">
                  <c:v>Dell XPS 13</c:v>
                </c:pt>
                <c:pt idx="1">
                  <c:v>MacBook Pro M2</c:v>
                </c:pt>
                <c:pt idx="2">
                  <c:v>MacBook Air M1</c:v>
                </c:pt>
                <c:pt idx="3">
                  <c:v>iPad Air</c:v>
                </c:pt>
                <c:pt idx="4">
                  <c:v>iPhone 13</c:v>
                </c:pt>
              </c:strCache>
            </c:strRef>
          </c:cat>
          <c:val>
            <c:numRef>
              <c:f>Pivot!$E$16:$E$21</c:f>
              <c:numCache>
                <c:formatCode>#,##0.00</c:formatCode>
                <c:ptCount val="5"/>
                <c:pt idx="0">
                  <c:v>1087520</c:v>
                </c:pt>
                <c:pt idx="1">
                  <c:v>778050</c:v>
                </c:pt>
                <c:pt idx="2">
                  <c:v>344250</c:v>
                </c:pt>
                <c:pt idx="3">
                  <c:v>240160</c:v>
                </c:pt>
                <c:pt idx="4">
                  <c:v>183960</c:v>
                </c:pt>
              </c:numCache>
            </c:numRef>
          </c:val>
          <c:extLst>
            <c:ext xmlns:c16="http://schemas.microsoft.com/office/drawing/2014/chart" uri="{C3380CC4-5D6E-409C-BE32-E72D297353CC}">
              <c16:uniqueId val="{00000000-89B6-4E99-BDFA-11B04DDD85D7}"/>
            </c:ext>
          </c:extLst>
        </c:ser>
        <c:dLbls>
          <c:showLegendKey val="0"/>
          <c:showVal val="0"/>
          <c:showCatName val="0"/>
          <c:showSerName val="0"/>
          <c:showPercent val="0"/>
          <c:showBubbleSize val="0"/>
        </c:dLbls>
        <c:gapWidth val="182"/>
        <c:axId val="1350310639"/>
        <c:axId val="1350313039"/>
      </c:barChart>
      <c:catAx>
        <c:axId val="135031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13039"/>
        <c:crosses val="autoZero"/>
        <c:auto val="1"/>
        <c:lblAlgn val="ctr"/>
        <c:lblOffset val="100"/>
        <c:noMultiLvlLbl val="0"/>
      </c:catAx>
      <c:valAx>
        <c:axId val="13503130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1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[mini_project.xlsx]Pivot!PivotTable2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i="1">
                <a:solidFill>
                  <a:sysClr val="windowText" lastClr="000000"/>
                </a:solidFill>
              </a:rPr>
              <a:t>Revenue by</a:t>
            </a:r>
            <a:r>
              <a:rPr lang="en-US" i="1" baseline="0">
                <a:solidFill>
                  <a:sysClr val="windowText" lastClr="000000"/>
                </a:solidFill>
              </a:rPr>
              <a:t> Segment</a:t>
            </a:r>
            <a:endParaRPr lang="en-US" i="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2A-4B84-824C-77557755DE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2A-4B84-824C-77557755DE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2A-4B84-824C-77557755DE67}"/>
              </c:ext>
            </c:extLst>
          </c:dPt>
          <c:cat>
            <c:strRef>
              <c:f>Pivot!$G$5:$G$8</c:f>
              <c:strCache>
                <c:ptCount val="3"/>
                <c:pt idx="0">
                  <c:v>SME</c:v>
                </c:pt>
                <c:pt idx="1">
                  <c:v>Retail</c:v>
                </c:pt>
                <c:pt idx="2">
                  <c:v>Enterprise</c:v>
                </c:pt>
              </c:strCache>
            </c:strRef>
          </c:cat>
          <c:val>
            <c:numRef>
              <c:f>Pivot!$H$5:$H$8</c:f>
              <c:numCache>
                <c:formatCode>#,##0.00</c:formatCode>
                <c:ptCount val="3"/>
                <c:pt idx="0">
                  <c:v>1502497</c:v>
                </c:pt>
                <c:pt idx="1">
                  <c:v>1406579.6</c:v>
                </c:pt>
                <c:pt idx="2">
                  <c:v>427080</c:v>
                </c:pt>
              </c:numCache>
            </c:numRef>
          </c:val>
          <c:extLst>
            <c:ext xmlns:c16="http://schemas.microsoft.com/office/drawing/2014/chart" uri="{C3380CC4-5D6E-409C-BE32-E72D297353CC}">
              <c16:uniqueId val="{00000006-0B2A-4B84-824C-77557755DE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a:t>
            </a:r>
            <a:r>
              <a:rPr lang="en-US" b="1" baseline="0">
                <a:solidFill>
                  <a:sysClr val="windowText" lastClr="000000"/>
                </a:solidFill>
              </a:rPr>
              <a: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Pivot!$D$5:$D$10</c:f>
              <c:strCache>
                <c:ptCount val="5"/>
                <c:pt idx="0">
                  <c:v>Laptop</c:v>
                </c:pt>
                <c:pt idx="1">
                  <c:v>Tablet</c:v>
                </c:pt>
                <c:pt idx="2">
                  <c:v>Electronics</c:v>
                </c:pt>
                <c:pt idx="3">
                  <c:v>Phone</c:v>
                </c:pt>
                <c:pt idx="4">
                  <c:v>Furniture</c:v>
                </c:pt>
              </c:strCache>
            </c:strRef>
          </c:cat>
          <c:val>
            <c:numRef>
              <c:f>Pivot!$E$5:$E$10</c:f>
              <c:numCache>
                <c:formatCode>General</c:formatCode>
                <c:ptCount val="5"/>
                <c:pt idx="0">
                  <c:v>167260</c:v>
                </c:pt>
                <c:pt idx="1">
                  <c:v>49200</c:v>
                </c:pt>
                <c:pt idx="2">
                  <c:v>26040</c:v>
                </c:pt>
                <c:pt idx="3">
                  <c:v>18960</c:v>
                </c:pt>
                <c:pt idx="4">
                  <c:v>1896.5999999999985</c:v>
                </c:pt>
              </c:numCache>
            </c:numRef>
          </c:val>
          <c:extLst>
            <c:ext xmlns:c16="http://schemas.microsoft.com/office/drawing/2014/chart" uri="{C3380CC4-5D6E-409C-BE32-E72D297353CC}">
              <c16:uniqueId val="{00000000-AB6B-434F-B49D-5007DAFBB8AA}"/>
            </c:ext>
          </c:extLst>
        </c:ser>
        <c:dLbls>
          <c:showLegendKey val="0"/>
          <c:showVal val="0"/>
          <c:showCatName val="0"/>
          <c:showSerName val="0"/>
          <c:showPercent val="0"/>
          <c:showBubbleSize val="0"/>
        </c:dLbls>
        <c:gapWidth val="219"/>
        <c:overlap val="-27"/>
        <c:axId val="1192345263"/>
        <c:axId val="1192345743"/>
      </c:barChart>
      <c:catAx>
        <c:axId val="119234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45743"/>
        <c:crosses val="autoZero"/>
        <c:auto val="1"/>
        <c:lblAlgn val="ctr"/>
        <c:lblOffset val="100"/>
        <c:noMultiLvlLbl val="0"/>
      </c:catAx>
      <c:valAx>
        <c:axId val="11923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4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457200</xdr:colOff>
      <xdr:row>10</xdr:row>
      <xdr:rowOff>68581</xdr:rowOff>
    </xdr:from>
    <xdr:to>
      <xdr:col>14</xdr:col>
      <xdr:colOff>76200</xdr:colOff>
      <xdr:row>18</xdr:row>
      <xdr:rowOff>175261</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8D328E32-F42E-2D64-C4B4-D89CCAF71C2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965180" y="1897381"/>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838200</xdr:colOff>
      <xdr:row>0</xdr:row>
      <xdr:rowOff>99060</xdr:rowOff>
    </xdr:from>
    <xdr:to>
      <xdr:col>11</xdr:col>
      <xdr:colOff>243840</xdr:colOff>
      <xdr:row>18</xdr:row>
      <xdr:rowOff>167640</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CBD31D1C-BC8A-7698-4743-B66F959807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923020" y="99060"/>
              <a:ext cx="1828800" cy="3360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449580</xdr:colOff>
      <xdr:row>0</xdr:row>
      <xdr:rowOff>83821</xdr:rowOff>
    </xdr:from>
    <xdr:to>
      <xdr:col>14</xdr:col>
      <xdr:colOff>68580</xdr:colOff>
      <xdr:row>9</xdr:row>
      <xdr:rowOff>144781</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BC07EF2E-521D-FDEB-BDF2-FC1BD412C3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57560" y="8382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99060</xdr:rowOff>
    </xdr:from>
    <xdr:to>
      <xdr:col>7</xdr:col>
      <xdr:colOff>403860</xdr:colOff>
      <xdr:row>22</xdr:row>
      <xdr:rowOff>99060</xdr:rowOff>
    </xdr:to>
    <xdr:graphicFrame macro="">
      <xdr:nvGraphicFramePr>
        <xdr:cNvPr id="2" name="Chart 1">
          <a:extLst>
            <a:ext uri="{FF2B5EF4-FFF2-40B4-BE49-F238E27FC236}">
              <a16:creationId xmlns:a16="http://schemas.microsoft.com/office/drawing/2014/main" id="{84379B47-E31C-4357-9F47-FE9823416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91440</xdr:rowOff>
    </xdr:from>
    <xdr:to>
      <xdr:col>5</xdr:col>
      <xdr:colOff>114300</xdr:colOff>
      <xdr:row>36</xdr:row>
      <xdr:rowOff>99060</xdr:rowOff>
    </xdr:to>
    <xdr:graphicFrame macro="">
      <xdr:nvGraphicFramePr>
        <xdr:cNvPr id="3" name="Chart 2">
          <a:extLst>
            <a:ext uri="{FF2B5EF4-FFF2-40B4-BE49-F238E27FC236}">
              <a16:creationId xmlns:a16="http://schemas.microsoft.com/office/drawing/2014/main" id="{55D6AC80-B076-426A-AEA4-240BAAF61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24</xdr:row>
      <xdr:rowOff>91440</xdr:rowOff>
    </xdr:from>
    <xdr:to>
      <xdr:col>10</xdr:col>
      <xdr:colOff>586740</xdr:colOff>
      <xdr:row>36</xdr:row>
      <xdr:rowOff>76200</xdr:rowOff>
    </xdr:to>
    <xdr:graphicFrame macro="">
      <xdr:nvGraphicFramePr>
        <xdr:cNvPr id="4" name="Chart 3">
          <a:extLst>
            <a:ext uri="{FF2B5EF4-FFF2-40B4-BE49-F238E27FC236}">
              <a16:creationId xmlns:a16="http://schemas.microsoft.com/office/drawing/2014/main" id="{1AF26505-F8A3-4426-9214-767DC2358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22860</xdr:rowOff>
    </xdr:from>
    <xdr:to>
      <xdr:col>6</xdr:col>
      <xdr:colOff>236220</xdr:colOff>
      <xdr:row>53</xdr:row>
      <xdr:rowOff>30480</xdr:rowOff>
    </xdr:to>
    <xdr:graphicFrame macro="">
      <xdr:nvGraphicFramePr>
        <xdr:cNvPr id="5" name="Chart 4">
          <a:extLst>
            <a:ext uri="{FF2B5EF4-FFF2-40B4-BE49-F238E27FC236}">
              <a16:creationId xmlns:a16="http://schemas.microsoft.com/office/drawing/2014/main" id="{C384DC6B-A473-4D54-9295-6D313F421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15240</xdr:colOff>
      <xdr:row>1</xdr:row>
      <xdr:rowOff>30481</xdr:rowOff>
    </xdr:from>
    <xdr:to>
      <xdr:col>12</xdr:col>
      <xdr:colOff>45720</xdr:colOff>
      <xdr:row>8</xdr:row>
      <xdr:rowOff>30480</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5F7CA3EE-BEDF-4845-B648-467F15B3C56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048500" y="297181"/>
              <a:ext cx="1859280" cy="132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1</xdr:row>
      <xdr:rowOff>30480</xdr:rowOff>
    </xdr:from>
    <xdr:to>
      <xdr:col>15</xdr:col>
      <xdr:colOff>259080</xdr:colOff>
      <xdr:row>18</xdr:row>
      <xdr:rowOff>160020</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A78EFE01-C0B1-4392-BACB-E2C47968865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121140" y="297180"/>
              <a:ext cx="1828800" cy="328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9</xdr:row>
      <xdr:rowOff>30481</xdr:rowOff>
    </xdr:from>
    <xdr:to>
      <xdr:col>12</xdr:col>
      <xdr:colOff>38100</xdr:colOff>
      <xdr:row>18</xdr:row>
      <xdr:rowOff>160020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93CEF0BF-B177-4368-92D4-CFF612AC90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56120" y="1805941"/>
              <a:ext cx="1844040" cy="177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h Nguyen" refreshedDate="46121.703457754629" createdVersion="8" refreshedVersion="8" minRefreshableVersion="3" recordCount="30" xr:uid="{F5F1B332-C406-4C94-8803-43B1B6BA52C8}">
  <cacheSource type="worksheet">
    <worksheetSource ref="A1:T31" sheet="Analysis"/>
  </cacheSource>
  <cacheFields count="21">
    <cacheField name="OrderID" numFmtId="0">
      <sharedItems containsSemiMixedTypes="0" containsString="0" containsNumber="1" containsInteger="1" minValue="1" maxValue="30"/>
    </cacheField>
    <cacheField name="OrderDate" numFmtId="14">
      <sharedItems containsSemiMixedTypes="0" containsNonDate="0" containsDate="1" containsString="0" minDate="2024-03-07T00:00:00" maxDate="2026-03-26T00:00:00" count="30">
        <d v="2024-03-07T00:00:00"/>
        <d v="2024-04-07T00:00:00"/>
        <d v="2024-05-07T00:00:00"/>
        <d v="2025-06-07T00:00:00"/>
        <d v="2025-07-07T00:00:00"/>
        <d v="2025-08-07T00:00:00"/>
        <d v="2025-09-07T00:00:00"/>
        <d v="2025-10-07T00:00:00"/>
        <d v="2025-11-07T00:00:00"/>
        <d v="2025-12-07T00:00:00"/>
        <d v="2025-07-13T00:00:00"/>
        <d v="2025-07-14T00:00:00"/>
        <d v="2025-07-15T00:00:00"/>
        <d v="2025-07-16T00:00:00"/>
        <d v="2025-07-17T00:00:00"/>
        <d v="2025-05-18T00:00:00"/>
        <d v="2025-05-19T00:00:00"/>
        <d v="2025-04-20T00:00:00"/>
        <d v="2025-04-21T00:00:00"/>
        <d v="2025-04-22T00:00:00"/>
        <d v="2026-03-23T00:00:00"/>
        <d v="2026-03-24T00:00:00"/>
        <d v="2026-03-25T00:00:00"/>
        <d v="2026-02-26T00:00:00"/>
        <d v="2026-02-27T00:00:00"/>
        <d v="2026-01-28T00:00:00"/>
        <d v="2026-01-29T00:00:00"/>
        <d v="2026-01-30T00:00:00"/>
        <d v="2026-01-31T00:00:00"/>
        <d v="2026-01-08T00:00:00"/>
      </sharedItems>
      <fieldGroup par="20"/>
    </cacheField>
    <cacheField name="Year" numFmtId="0">
      <sharedItems containsSemiMixedTypes="0" containsString="0" containsNumber="1" containsInteger="1" minValue="2024" maxValue="2026" count="3">
        <n v="2024"/>
        <n v="2025"/>
        <n v="2026"/>
      </sharedItems>
    </cacheField>
    <cacheField name="Month" numFmtId="0">
      <sharedItems containsSemiMixedTypes="0" containsString="0" containsNumber="1" containsInteger="1" minValue="1" maxValue="12"/>
    </cacheField>
    <cacheField name="CustomerID" numFmtId="0">
      <sharedItems containsSemiMixedTypes="0" containsString="0" containsNumber="1" containsInteger="1" minValue="101" maxValue="114"/>
    </cacheField>
    <cacheField name="CustomerName" numFmtId="0">
      <sharedItems/>
    </cacheField>
    <cacheField name="Segment" numFmtId="0">
      <sharedItems count="3">
        <s v="SME"/>
        <s v="Retail"/>
        <s v="Enterprise"/>
      </sharedItems>
    </cacheField>
    <cacheField name="City" numFmtId="0">
      <sharedItems count="9">
        <s v="Hanoi"/>
        <s v="Da Nang"/>
        <s v="HCMC"/>
        <s v="Hai Phong"/>
        <s v="Nghe An"/>
        <s v="Thanh Hoa"/>
        <s v="Long An"/>
        <s v="Can Tho"/>
        <s v="Hue"/>
      </sharedItems>
    </cacheField>
    <cacheField name="Product" numFmtId="0">
      <sharedItems count="12">
        <s v="Laptop Pro 14"/>
        <s v="Samsung S22"/>
        <s v="iPad Gen 9"/>
        <s v="27in Monitor"/>
        <s v="Wireless Mouse"/>
        <s v="iPhone 13"/>
        <s v="MacBook Pro M2"/>
        <s v="Chair Gaming"/>
        <s v="Galaxy Tab S8"/>
        <s v="Dell XPS 13"/>
        <s v="iPad Air"/>
        <s v="MacBook Air M1"/>
      </sharedItems>
    </cacheField>
    <cacheField name="Category" numFmtId="0">
      <sharedItems count="5">
        <s v="Electronics"/>
        <s v="Furniture"/>
        <s v="Phone"/>
        <s v="Laptop"/>
        <s v="Tablet"/>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367.6999999999998" maxValue="33950"/>
    </cacheField>
    <cacheField name="DiscountPct" numFmtId="10">
      <sharedItems containsSemiMixedTypes="0" containsString="0" containsNumber="1" minValue="0" maxValue="0.2"/>
    </cacheField>
    <cacheField name="Salesperson" numFmtId="0">
      <sharedItems count="10">
        <s v="An"/>
        <s v="Binh"/>
        <s v="Chi"/>
        <s v="Thinh"/>
        <s v="Duy"/>
        <s v="Lan"/>
        <s v="Nguyen"/>
        <s v="Ngoc"/>
        <s v="Tram"/>
        <s v="Hai"/>
      </sharedItems>
    </cacheField>
    <cacheField name="OrderSize" numFmtId="0">
      <sharedItems/>
    </cacheField>
    <cacheField name="StandardPrice" numFmtId="0">
      <sharedItems containsSemiMixedTypes="0" containsString="0" containsNumber="1" containsInteger="1" minValue="1455" maxValue="35000"/>
    </cacheField>
    <cacheField name="Cost" numFmtId="0">
      <sharedItems containsSemiMixedTypes="0" containsString="0" containsNumber="1" containsInteger="1" minValue="1000" maxValue="30000"/>
    </cacheField>
    <cacheField name="RevenueAfterDiscount" numFmtId="4">
      <sharedItems containsSemiMixedTypes="0" containsString="0" containsNumber="1" minValue="1455" maxValue="492800"/>
    </cacheField>
    <cacheField name="Profit" numFmtId="0">
      <sharedItems containsSemiMixedTypes="0" containsString="0" containsNumber="1" minValue="-2250" maxValue="35550"/>
    </cacheField>
    <cacheField name="ProfitMargin" numFmtId="0">
      <sharedItems containsSemiMixedTypes="0" containsString="0" containsNumber="1" minValue="-5.2631578947368418E-2" maxValue="0.33333333333333331"/>
    </cacheField>
    <cacheField name="Months (OrderDate)" numFmtId="0" databaseField="0">
      <fieldGroup base="1">
        <rangePr groupBy="months" startDate="2024-03-07T00:00:00" endDate="2026-03-26T00:00:00"/>
        <groupItems count="14">
          <s v="&lt;3/7/2024"/>
          <s v="Jan"/>
          <s v="Feb"/>
          <s v="Mar"/>
          <s v="Apr"/>
          <s v="May"/>
          <s v="Jun"/>
          <s v="Jul"/>
          <s v="Aug"/>
          <s v="Sep"/>
          <s v="Oct"/>
          <s v="Nov"/>
          <s v="Dec"/>
          <s v="&gt;3/26/2026"/>
        </groupItems>
      </fieldGroup>
    </cacheField>
  </cacheFields>
  <extLst>
    <ext xmlns:x14="http://schemas.microsoft.com/office/spreadsheetml/2009/9/main" uri="{725AE2AE-9491-48be-B2B4-4EB974FC3084}">
      <x14:pivotCacheDefinition pivotCacheId="1666850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x v="0"/>
    <n v="3"/>
    <n v="101"/>
    <s v="Minh Anh Co"/>
    <x v="0"/>
    <x v="0"/>
    <x v="0"/>
    <x v="0"/>
    <n v="1"/>
    <n v="32000"/>
    <n v="0"/>
    <x v="0"/>
    <s v="Normal"/>
    <n v="32000"/>
    <n v="25000"/>
    <n v="32000"/>
    <n v="7000"/>
    <n v="0.21875"/>
  </r>
  <r>
    <n v="2"/>
    <x v="1"/>
    <x v="0"/>
    <n v="4"/>
    <n v="102"/>
    <s v="Le Chi Store"/>
    <x v="1"/>
    <x v="1"/>
    <x v="1"/>
    <x v="0"/>
    <n v="12"/>
    <n v="15300"/>
    <n v="0.1"/>
    <x v="1"/>
    <s v="Bulk"/>
    <n v="17000"/>
    <n v="14000"/>
    <n v="183600"/>
    <n v="15600"/>
    <n v="8.4967320261437912E-2"/>
  </r>
  <r>
    <n v="3"/>
    <x v="2"/>
    <x v="0"/>
    <n v="5"/>
    <n v="111"/>
    <s v="Nguyen"/>
    <x v="1"/>
    <x v="2"/>
    <x v="2"/>
    <x v="1"/>
    <n v="5"/>
    <n v="8550"/>
    <n v="0.05"/>
    <x v="2"/>
    <s v="Normal"/>
    <n v="9000"/>
    <n v="9000"/>
    <n v="42750"/>
    <n v="-2250"/>
    <n v="-5.2631578947368418E-2"/>
  </r>
  <r>
    <n v="4"/>
    <x v="3"/>
    <x v="1"/>
    <n v="6"/>
    <n v="106"/>
    <s v="Hoang Tech"/>
    <x v="0"/>
    <x v="3"/>
    <x v="3"/>
    <x v="0"/>
    <n v="3"/>
    <n v="5104"/>
    <n v="0.12"/>
    <x v="3"/>
    <s v="Normal"/>
    <n v="5800"/>
    <n v="5000"/>
    <n v="15312"/>
    <n v="312"/>
    <n v="2.037617554858934E-2"/>
  </r>
  <r>
    <n v="5"/>
    <x v="4"/>
    <x v="1"/>
    <n v="7"/>
    <n v="105"/>
    <s v="Lan Office"/>
    <x v="0"/>
    <x v="2"/>
    <x v="4"/>
    <x v="0"/>
    <n v="1"/>
    <n v="1500"/>
    <n v="0"/>
    <x v="4"/>
    <s v="Normal"/>
    <n v="1500"/>
    <n v="1000"/>
    <n v="1500"/>
    <n v="500"/>
    <n v="0.33333333333333331"/>
  </r>
  <r>
    <n v="6"/>
    <x v="5"/>
    <x v="1"/>
    <n v="8"/>
    <n v="111"/>
    <s v="Nguyen"/>
    <x v="1"/>
    <x v="2"/>
    <x v="5"/>
    <x v="2"/>
    <n v="2"/>
    <n v="15300"/>
    <n v="0.15"/>
    <x v="3"/>
    <s v="Normal"/>
    <n v="18000"/>
    <n v="15000"/>
    <n v="30600"/>
    <n v="600"/>
    <n v="1.9607843137254902E-2"/>
  </r>
  <r>
    <n v="7"/>
    <x v="6"/>
    <x v="1"/>
    <n v="9"/>
    <n v="107"/>
    <s v="An Solutions"/>
    <x v="0"/>
    <x v="1"/>
    <x v="6"/>
    <x v="3"/>
    <n v="9"/>
    <n v="33950"/>
    <n v="0.03"/>
    <x v="5"/>
    <s v="Normal"/>
    <n v="35000"/>
    <n v="30000"/>
    <n v="305550"/>
    <n v="35550"/>
    <n v="0.11634756995581738"/>
  </r>
  <r>
    <n v="8"/>
    <x v="7"/>
    <x v="1"/>
    <n v="10"/>
    <n v="113"/>
    <s v="Khoa Pham Co"/>
    <x v="2"/>
    <x v="4"/>
    <x v="7"/>
    <x v="1"/>
    <n v="10"/>
    <n v="1455"/>
    <n v="0"/>
    <x v="6"/>
    <s v="Bulk"/>
    <n v="1455"/>
    <n v="1200"/>
    <n v="14550"/>
    <n v="2550"/>
    <n v="0.17525773195876287"/>
  </r>
  <r>
    <n v="9"/>
    <x v="8"/>
    <x v="1"/>
    <n v="11"/>
    <n v="109"/>
    <s v="Tu Anh Logistics"/>
    <x v="2"/>
    <x v="1"/>
    <x v="8"/>
    <x v="4"/>
    <n v="1"/>
    <n v="11200"/>
    <n v="0.2"/>
    <x v="7"/>
    <s v="Normal"/>
    <n v="14000"/>
    <n v="11000"/>
    <n v="11200"/>
    <n v="200"/>
    <n v="1.7857142857142856E-2"/>
  </r>
  <r>
    <n v="10"/>
    <x v="9"/>
    <x v="1"/>
    <n v="12"/>
    <n v="110"/>
    <s v="Huy"/>
    <x v="1"/>
    <x v="5"/>
    <x v="0"/>
    <x v="3"/>
    <n v="4"/>
    <n v="29759.999999999996"/>
    <n v="7.0000000000000007E-2"/>
    <x v="6"/>
    <s v="Normal"/>
    <n v="32000"/>
    <n v="25000"/>
    <n v="119039.99999999999"/>
    <n v="19039.999999999985"/>
    <n v="0.15994623655913967"/>
  </r>
  <r>
    <n v="11"/>
    <x v="10"/>
    <x v="1"/>
    <n v="7"/>
    <n v="101"/>
    <s v="Minh Anh Co"/>
    <x v="0"/>
    <x v="0"/>
    <x v="3"/>
    <x v="0"/>
    <n v="11"/>
    <n v="5220"/>
    <n v="0.1"/>
    <x v="8"/>
    <s v="Bulk"/>
    <n v="5800"/>
    <n v="5000"/>
    <n v="57420"/>
    <n v="2420"/>
    <n v="4.2145593869731802E-2"/>
  </r>
  <r>
    <n v="12"/>
    <x v="11"/>
    <x v="1"/>
    <n v="7"/>
    <n v="114"/>
    <s v="Vy"/>
    <x v="1"/>
    <x v="0"/>
    <x v="5"/>
    <x v="2"/>
    <n v="6"/>
    <n v="17280"/>
    <n v="0.04"/>
    <x v="5"/>
    <s v="Normal"/>
    <n v="18000"/>
    <n v="15000"/>
    <n v="103680"/>
    <n v="13680"/>
    <n v="0.13194444444444445"/>
  </r>
  <r>
    <n v="13"/>
    <x v="12"/>
    <x v="1"/>
    <n v="7"/>
    <n v="112"/>
    <s v="Trang Nguyen Store"/>
    <x v="1"/>
    <x v="6"/>
    <x v="9"/>
    <x v="3"/>
    <n v="20"/>
    <n v="24640"/>
    <n v="0.12"/>
    <x v="1"/>
    <s v="Bulk"/>
    <n v="28000"/>
    <n v="24000"/>
    <n v="492800"/>
    <n v="12800"/>
    <n v="2.5974025974025976E-2"/>
  </r>
  <r>
    <n v="14"/>
    <x v="13"/>
    <x v="1"/>
    <n v="7"/>
    <n v="103"/>
    <s v="Pham Group"/>
    <x v="2"/>
    <x v="0"/>
    <x v="10"/>
    <x v="4"/>
    <n v="7"/>
    <n v="16000"/>
    <n v="0"/>
    <x v="0"/>
    <s v="Normal"/>
    <n v="16000"/>
    <n v="13000"/>
    <n v="112000"/>
    <n v="21000"/>
    <n v="0.1875"/>
  </r>
  <r>
    <n v="15"/>
    <x v="14"/>
    <x v="1"/>
    <n v="7"/>
    <n v="109"/>
    <s v="Tu Anh Logistics"/>
    <x v="2"/>
    <x v="1"/>
    <x v="0"/>
    <x v="3"/>
    <n v="1"/>
    <n v="30400"/>
    <n v="0.05"/>
    <x v="4"/>
    <s v="Normal"/>
    <n v="32000"/>
    <n v="25000"/>
    <n v="30400"/>
    <n v="5400"/>
    <n v="0.17763157894736842"/>
  </r>
  <r>
    <n v="16"/>
    <x v="15"/>
    <x v="1"/>
    <n v="5"/>
    <n v="113"/>
    <s v="Khoa Pham Co"/>
    <x v="2"/>
    <x v="4"/>
    <x v="5"/>
    <x v="2"/>
    <n v="3"/>
    <n v="16560"/>
    <n v="0.08"/>
    <x v="6"/>
    <s v="Normal"/>
    <n v="18000"/>
    <n v="15000"/>
    <n v="49680"/>
    <n v="4680"/>
    <n v="9.420289855072464E-2"/>
  </r>
  <r>
    <n v="17"/>
    <x v="16"/>
    <x v="1"/>
    <n v="5"/>
    <n v="107"/>
    <s v="An Solutions"/>
    <x v="0"/>
    <x v="1"/>
    <x v="6"/>
    <x v="3"/>
    <n v="15"/>
    <n v="31500"/>
    <n v="0.1"/>
    <x v="6"/>
    <s v="Bulk"/>
    <n v="35000"/>
    <n v="30000"/>
    <n v="472500"/>
    <n v="22500"/>
    <n v="4.7619047619047616E-2"/>
  </r>
  <r>
    <n v="18"/>
    <x v="17"/>
    <x v="1"/>
    <n v="4"/>
    <n v="104"/>
    <s v="Duy Retail"/>
    <x v="1"/>
    <x v="7"/>
    <x v="7"/>
    <x v="1"/>
    <n v="8"/>
    <n v="1367.6999999999998"/>
    <n v="0.06"/>
    <x v="2"/>
    <s v="Normal"/>
    <n v="1455"/>
    <n v="1200"/>
    <n v="10941.599999999999"/>
    <n v="1341.5999999999985"/>
    <n v="0.12261460846676892"/>
  </r>
  <r>
    <n v="19"/>
    <x v="18"/>
    <x v="1"/>
    <n v="4"/>
    <n v="110"/>
    <s v="Huy"/>
    <x v="1"/>
    <x v="5"/>
    <x v="3"/>
    <x v="0"/>
    <n v="2"/>
    <n v="5104"/>
    <n v="0.12"/>
    <x v="6"/>
    <s v="Normal"/>
    <n v="5800"/>
    <n v="5000"/>
    <n v="10208"/>
    <n v="208"/>
    <n v="2.037617554858934E-2"/>
  </r>
  <r>
    <n v="20"/>
    <x v="19"/>
    <x v="1"/>
    <n v="4"/>
    <n v="106"/>
    <s v="Hoang Tech"/>
    <x v="0"/>
    <x v="3"/>
    <x v="2"/>
    <x v="4"/>
    <n v="5"/>
    <n v="9000"/>
    <n v="0"/>
    <x v="1"/>
    <s v="Normal"/>
    <n v="9000"/>
    <n v="9000"/>
    <n v="45000"/>
    <n v="0"/>
    <n v="0"/>
  </r>
  <r>
    <n v="21"/>
    <x v="20"/>
    <x v="2"/>
    <n v="3"/>
    <n v="101"/>
    <s v="Minh Anh Co"/>
    <x v="0"/>
    <x v="0"/>
    <x v="9"/>
    <x v="3"/>
    <n v="12"/>
    <n v="25480"/>
    <n v="0.09"/>
    <x v="0"/>
    <s v="Bulk"/>
    <n v="28000"/>
    <n v="24000"/>
    <n v="305760"/>
    <n v="17760"/>
    <n v="5.8084772370486655E-2"/>
  </r>
  <r>
    <n v="22"/>
    <x v="21"/>
    <x v="2"/>
    <n v="3"/>
    <n v="111"/>
    <s v="Nguyen"/>
    <x v="1"/>
    <x v="2"/>
    <x v="9"/>
    <x v="3"/>
    <n v="1"/>
    <n v="22960"/>
    <n v="0.18"/>
    <x v="4"/>
    <s v="Normal"/>
    <n v="28000"/>
    <n v="24000"/>
    <n v="22960"/>
    <n v="-1040"/>
    <n v="-4.5296167247386762E-2"/>
  </r>
  <r>
    <n v="23"/>
    <x v="22"/>
    <x v="2"/>
    <n v="3"/>
    <n v="109"/>
    <s v="Tu Anh Logistics"/>
    <x v="2"/>
    <x v="1"/>
    <x v="11"/>
    <x v="3"/>
    <n v="2"/>
    <n v="25000"/>
    <n v="0"/>
    <x v="2"/>
    <s v="Normal"/>
    <n v="25000"/>
    <n v="21000"/>
    <n v="50000"/>
    <n v="8000"/>
    <n v="0.16"/>
  </r>
  <r>
    <n v="24"/>
    <x v="23"/>
    <x v="2"/>
    <n v="2"/>
    <n v="108"/>
    <s v="Kien Mart"/>
    <x v="1"/>
    <x v="8"/>
    <x v="10"/>
    <x v="4"/>
    <n v="9"/>
    <n v="14240"/>
    <n v="0.11"/>
    <x v="9"/>
    <s v="Normal"/>
    <n v="16000"/>
    <n v="13000"/>
    <n v="128160"/>
    <n v="11160"/>
    <n v="8.7078651685393263E-2"/>
  </r>
  <r>
    <n v="25"/>
    <x v="24"/>
    <x v="2"/>
    <n v="2"/>
    <n v="110"/>
    <s v="Huy"/>
    <x v="1"/>
    <x v="5"/>
    <x v="8"/>
    <x v="4"/>
    <n v="6"/>
    <n v="13020"/>
    <n v="7.0000000000000007E-2"/>
    <x v="5"/>
    <s v="Normal"/>
    <n v="14000"/>
    <n v="11000"/>
    <n v="78120"/>
    <n v="12120"/>
    <n v="0.15514592933947774"/>
  </r>
  <r>
    <n v="26"/>
    <x v="25"/>
    <x v="2"/>
    <n v="1"/>
    <n v="114"/>
    <s v="Vy"/>
    <x v="1"/>
    <x v="0"/>
    <x v="8"/>
    <x v="4"/>
    <n v="4"/>
    <n v="12180"/>
    <n v="0.13"/>
    <x v="7"/>
    <s v="Normal"/>
    <n v="14000"/>
    <n v="11000"/>
    <n v="48720"/>
    <n v="4720"/>
    <n v="9.688013136288999E-2"/>
  </r>
  <r>
    <n v="27"/>
    <x v="26"/>
    <x v="2"/>
    <n v="1"/>
    <n v="106"/>
    <s v="Hoang Tech"/>
    <x v="0"/>
    <x v="3"/>
    <x v="9"/>
    <x v="3"/>
    <n v="10"/>
    <n v="26600"/>
    <n v="0.05"/>
    <x v="0"/>
    <s v="Bulk"/>
    <n v="28000"/>
    <n v="24000"/>
    <n v="266000"/>
    <n v="26000"/>
    <n v="9.7744360902255634E-2"/>
  </r>
  <r>
    <n v="28"/>
    <x v="27"/>
    <x v="2"/>
    <n v="1"/>
    <n v="103"/>
    <s v="Pham Group"/>
    <x v="2"/>
    <x v="0"/>
    <x v="11"/>
    <x v="3"/>
    <n v="7"/>
    <n v="22750"/>
    <n v="0.09"/>
    <x v="8"/>
    <s v="Normal"/>
    <n v="25000"/>
    <n v="21000"/>
    <n v="159250"/>
    <n v="12250"/>
    <n v="7.6923076923076927E-2"/>
  </r>
  <r>
    <n v="29"/>
    <x v="28"/>
    <x v="2"/>
    <n v="1"/>
    <n v="105"/>
    <s v="Lan Office"/>
    <x v="0"/>
    <x v="2"/>
    <x v="7"/>
    <x v="1"/>
    <n v="1"/>
    <n v="1455"/>
    <n v="0"/>
    <x v="4"/>
    <s v="Normal"/>
    <n v="1455"/>
    <n v="1200"/>
    <n v="1455"/>
    <n v="255"/>
    <n v="0.17525773195876287"/>
  </r>
  <r>
    <n v="30"/>
    <x v="29"/>
    <x v="2"/>
    <n v="1"/>
    <n v="112"/>
    <s v="Trang Nguyen Store"/>
    <x v="1"/>
    <x v="6"/>
    <x v="11"/>
    <x v="3"/>
    <n v="6"/>
    <n v="22500"/>
    <n v="0.1"/>
    <x v="7"/>
    <s v="Normal"/>
    <n v="25000"/>
    <n v="21000"/>
    <n v="135000"/>
    <n v="9000"/>
    <n v="6.66666666666666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94E0D-CA54-41A0-9960-16F3D78299E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D4:E10"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showAll="0"/>
    <pivotField showAll="0"/>
    <pivotField showAll="0"/>
    <pivotField numFmtId="4"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9"/>
  </rowFields>
  <rowItems count="6">
    <i>
      <x v="2"/>
    </i>
    <i>
      <x v="4"/>
    </i>
    <i>
      <x/>
    </i>
    <i>
      <x v="3"/>
    </i>
    <i>
      <x v="1"/>
    </i>
    <i t="grand">
      <x/>
    </i>
  </rowItems>
  <colItems count="1">
    <i/>
  </colItems>
  <dataFields count="1">
    <dataField name=" Profit" fld="1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A6780-C0D3-42EA-B378-661778E0C82B}" name="PivotTable2" cacheId="1"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chartFormat="4" rowHeaderCaption="Segment">
  <location ref="G4:H8"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4">
    <i>
      <x v="2"/>
    </i>
    <i>
      <x v="1"/>
    </i>
    <i>
      <x/>
    </i>
    <i t="grand">
      <x/>
    </i>
  </rowItems>
  <colItems count="1">
    <i/>
  </colItems>
  <dataFields count="1">
    <dataField name="Revenue" fld="17" baseField="6" baseItem="0" numFmtId="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A0203C-49B4-46A5-A521-D3B5C31EE35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oth ">
  <location ref="A3:B16"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20"/>
  </rowFields>
  <rowItems count="13">
    <i>
      <x v="7"/>
    </i>
    <i>
      <x v="1"/>
    </i>
    <i>
      <x v="5"/>
    </i>
    <i>
      <x v="3"/>
    </i>
    <i>
      <x v="9"/>
    </i>
    <i>
      <x v="4"/>
    </i>
    <i>
      <x v="2"/>
    </i>
    <i>
      <x v="12"/>
    </i>
    <i>
      <x v="8"/>
    </i>
    <i>
      <x v="6"/>
    </i>
    <i>
      <x v="10"/>
    </i>
    <i>
      <x v="11"/>
    </i>
    <i t="grand">
      <x/>
    </i>
  </rowItems>
  <colItems count="1">
    <i/>
  </colItems>
  <dataFields count="1">
    <dataField name="Revenue" fld="17" baseField="20" baseItem="1" numFmtId="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C971C-E659-4E13-9ACA-9C9FAFFBD4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D15:E21" firstHeaderRow="1" firstDataRow="1" firstDataCol="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showAll="0"/>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axis="axisRow" showAll="0" measureFilter="1" sortType="descending">
      <items count="13">
        <item x="3"/>
        <item x="7"/>
        <item x="9"/>
        <item x="8"/>
        <item x="10"/>
        <item x="2"/>
        <item x="5"/>
        <item x="0"/>
        <item x="11"/>
        <item x="6"/>
        <item x="1"/>
        <item x="4"/>
        <item t="default"/>
      </items>
      <autoSortScope>
        <pivotArea dataOnly="0" outline="0" fieldPosition="0">
          <references count="1">
            <reference field="4294967294" count="1" selected="0">
              <x v="0"/>
            </reference>
          </references>
        </pivotArea>
      </autoSortScope>
    </pivotField>
    <pivotField showAll="0">
      <items count="6">
        <item x="0"/>
        <item x="1"/>
        <item x="3"/>
        <item x="2"/>
        <item x="4"/>
        <item t="default"/>
      </items>
    </pivotField>
    <pivotField showAll="0"/>
    <pivotField showAll="0"/>
    <pivotField numFmtId="10" showAll="0"/>
    <pivotField showAll="0"/>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6">
    <i>
      <x v="2"/>
    </i>
    <i>
      <x v="9"/>
    </i>
    <i>
      <x v="8"/>
    </i>
    <i>
      <x v="4"/>
    </i>
    <i>
      <x v="6"/>
    </i>
    <i t="grand">
      <x/>
    </i>
  </rowItems>
  <colItems count="1">
    <i/>
  </colItems>
  <dataFields count="1">
    <dataField name="RevenueADiscount" fld="17" baseField="8"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B130C-F637-497C-B377-3A7175678E4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24" firstHeaderRow="1" firstDataRow="1" firstDataCol="1" rowPageCount="1" colPageCount="1"/>
  <pivotFields count="21">
    <pivotField showAll="0"/>
    <pivotField numFmtId="14" showAll="0">
      <items count="31">
        <item x="0"/>
        <item x="1"/>
        <item x="2"/>
        <item x="17"/>
        <item x="18"/>
        <item x="19"/>
        <item x="15"/>
        <item x="16"/>
        <item x="3"/>
        <item x="4"/>
        <item x="10"/>
        <item x="11"/>
        <item x="12"/>
        <item x="13"/>
        <item x="14"/>
        <item x="5"/>
        <item x="6"/>
        <item x="7"/>
        <item x="8"/>
        <item x="9"/>
        <item x="29"/>
        <item x="25"/>
        <item x="26"/>
        <item x="27"/>
        <item x="28"/>
        <item x="23"/>
        <item x="24"/>
        <item x="20"/>
        <item x="21"/>
        <item x="22"/>
        <item t="default"/>
      </items>
    </pivotField>
    <pivotField axis="axisPage" showAll="0">
      <items count="4">
        <item x="0"/>
        <item x="1"/>
        <item x="2"/>
        <item t="default"/>
      </items>
    </pivotField>
    <pivotField showAll="0"/>
    <pivotField showAll="0"/>
    <pivotField showAll="0"/>
    <pivotField showAll="0">
      <items count="4">
        <item x="2"/>
        <item x="1"/>
        <item x="0"/>
        <item t="default"/>
      </items>
    </pivotField>
    <pivotField showAll="0">
      <items count="10">
        <item x="7"/>
        <item x="1"/>
        <item x="3"/>
        <item x="0"/>
        <item x="2"/>
        <item x="8"/>
        <item x="6"/>
        <item x="4"/>
        <item x="5"/>
        <item t="default"/>
      </items>
    </pivotField>
    <pivotField showAll="0"/>
    <pivotField showAll="0">
      <items count="6">
        <item x="0"/>
        <item x="1"/>
        <item x="3"/>
        <item x="2"/>
        <item x="4"/>
        <item t="default"/>
      </items>
    </pivotField>
    <pivotField showAll="0"/>
    <pivotField showAll="0"/>
    <pivotField numFmtId="10" showAll="0"/>
    <pivotField axis="axisRow" showAll="0" sortType="descending">
      <items count="11">
        <item x="0"/>
        <item x="1"/>
        <item x="2"/>
        <item x="4"/>
        <item x="9"/>
        <item x="5"/>
        <item x="7"/>
        <item x="6"/>
        <item x="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 showAll="0"/>
    <pivotField showAll="0"/>
    <pivotField showAll="0"/>
    <pivotField showAll="0" defaultSubtotal="0">
      <items count="14">
        <item x="0"/>
        <item x="1"/>
        <item x="2"/>
        <item x="3"/>
        <item x="4"/>
        <item x="5"/>
        <item x="6"/>
        <item x="7"/>
        <item x="8"/>
        <item x="9"/>
        <item x="10"/>
        <item x="11"/>
        <item x="12"/>
        <item x="13"/>
      </items>
    </pivotField>
  </pivotFields>
  <rowFields count="1">
    <field x="13"/>
  </rowFields>
  <rowItems count="10">
    <i>
      <x v="7"/>
    </i>
    <i>
      <x v="1"/>
    </i>
    <i>
      <x v="5"/>
    </i>
    <i>
      <x/>
    </i>
    <i>
      <x v="9"/>
    </i>
    <i>
      <x v="8"/>
    </i>
    <i>
      <x v="3"/>
    </i>
    <i>
      <x v="6"/>
    </i>
    <i>
      <x v="2"/>
    </i>
    <i t="grand">
      <x/>
    </i>
  </rowItems>
  <colItems count="1">
    <i/>
  </colItems>
  <pageFields count="1">
    <pageField fld="2" item="1" hier="-1"/>
  </pageFields>
  <dataFields count="1">
    <dataField name="Revenue"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0CE4FF-5280-40B9-87E1-C18DD261595F}" sourceName="Segment">
  <pivotTables>
    <pivotTable tabId="12" name="PivotTable5"/>
    <pivotTable tabId="12" name="PivotTable1"/>
    <pivotTable tabId="12" name="PivotTable2"/>
    <pivotTable tabId="12" name="PivotTable3"/>
    <pivotTable tabId="12" name="PivotTable4"/>
  </pivotTables>
  <data>
    <tabular pivotCacheId="166685055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380EC1-663A-4A86-B0D3-0897735E19DB}" sourceName="City">
  <pivotTables>
    <pivotTable tabId="12" name="PivotTable5"/>
    <pivotTable tabId="12" name="PivotTable1"/>
    <pivotTable tabId="12" name="PivotTable2"/>
    <pivotTable tabId="12" name="PivotTable3"/>
    <pivotTable tabId="12" name="PivotTable4"/>
  </pivotTables>
  <data>
    <tabular pivotCacheId="1666850557">
      <items count="9">
        <i x="7" s="1"/>
        <i x="1" s="1"/>
        <i x="3" s="1"/>
        <i x="0" s="1"/>
        <i x="2" s="1"/>
        <i x="8"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9C5BBC-C1AD-4D53-BA2D-5D5162881BB5}" sourceName="Category">
  <pivotTables>
    <pivotTable tabId="12" name="PivotTable5"/>
    <pivotTable tabId="12" name="PivotTable1"/>
    <pivotTable tabId="12" name="PivotTable2"/>
    <pivotTable tabId="12" name="PivotTable3"/>
    <pivotTable tabId="12" name="PivotTable4"/>
  </pivotTables>
  <data>
    <tabular pivotCacheId="1666850557">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AC5EE8B-0786-4C05-9080-54AB38AB48C8}" cache="Slicer_Segment" caption="Segment" rowHeight="234950"/>
  <slicer name="City" xr10:uid="{07005E76-0BC4-40A6-AF5A-C953FC3EF078}" cache="Slicer_City" caption="City" rowHeight="234950"/>
  <slicer name="Category" xr10:uid="{1DD72CCD-8AF4-4CB1-A413-42A25D26648A}"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071B014-AD36-46AB-B21F-789AE6493E44}" cache="Slicer_Segment" caption="Segment" style="SlicerStyleOther2" rowHeight="234950"/>
  <slicer name="City 1" xr10:uid="{0827C7A3-3D94-4B67-ACD9-73E21F4C10E7}" cache="Slicer_City" caption="City" style="SlicerStyleLight3" rowHeight="234950"/>
  <slicer name="Category 1" xr10:uid="{A0C0DD15-14A3-4FF0-B2FE-33F29D8C1364}" cache="Slicer_Category" caption="Categ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pane ySplit="1" topLeftCell="A2" activePane="bottomLeft" state="frozen"/>
      <selection activeCell="H32" sqref="H32"/>
      <selection pane="bottomLeft" activeCell="H32" sqref="H32"/>
    </sheetView>
  </sheetViews>
  <sheetFormatPr defaultRowHeight="14.4" x14ac:dyDescent="0.3"/>
  <cols>
    <col min="1" max="1" width="12" customWidth="1"/>
    <col min="2" max="2" width="18" customWidth="1"/>
    <col min="3" max="3" width="12" customWidth="1"/>
    <col min="4" max="4" width="11" customWidth="1"/>
  </cols>
  <sheetData>
    <row r="1" spans="1:4" x14ac:dyDescent="0.3">
      <c r="A1" s="1" t="s">
        <v>0</v>
      </c>
      <c r="B1" s="1" t="s">
        <v>1</v>
      </c>
      <c r="C1" s="1" t="s">
        <v>2</v>
      </c>
      <c r="D1" s="1" t="s">
        <v>3</v>
      </c>
    </row>
    <row r="2" spans="1:4" x14ac:dyDescent="0.3">
      <c r="A2">
        <v>101</v>
      </c>
      <c r="B2" t="s">
        <v>4</v>
      </c>
      <c r="C2" t="s">
        <v>5</v>
      </c>
      <c r="D2" t="s">
        <v>6</v>
      </c>
    </row>
    <row r="3" spans="1:4" x14ac:dyDescent="0.3">
      <c r="A3">
        <v>101</v>
      </c>
      <c r="B3" t="s">
        <v>7</v>
      </c>
      <c r="C3" t="s">
        <v>8</v>
      </c>
      <c r="D3" t="s">
        <v>9</v>
      </c>
    </row>
    <row r="4" spans="1:4" x14ac:dyDescent="0.3">
      <c r="A4">
        <v>102</v>
      </c>
      <c r="B4" t="s">
        <v>10</v>
      </c>
      <c r="C4" t="s">
        <v>11</v>
      </c>
      <c r="D4" t="s">
        <v>12</v>
      </c>
    </row>
    <row r="5" spans="1:4" x14ac:dyDescent="0.3">
      <c r="A5">
        <v>103</v>
      </c>
      <c r="B5" t="s">
        <v>13</v>
      </c>
      <c r="C5" t="s">
        <v>8</v>
      </c>
      <c r="D5" t="s">
        <v>6</v>
      </c>
    </row>
    <row r="6" spans="1:4" x14ac:dyDescent="0.3">
      <c r="A6">
        <v>104</v>
      </c>
      <c r="B6" t="s">
        <v>14</v>
      </c>
      <c r="C6" t="s">
        <v>11</v>
      </c>
      <c r="D6" t="s">
        <v>15</v>
      </c>
    </row>
    <row r="7" spans="1:4" x14ac:dyDescent="0.3">
      <c r="A7">
        <v>105</v>
      </c>
      <c r="B7" t="s">
        <v>16</v>
      </c>
      <c r="C7" t="s">
        <v>5</v>
      </c>
      <c r="D7" t="s">
        <v>9</v>
      </c>
    </row>
    <row r="8" spans="1:4" x14ac:dyDescent="0.3">
      <c r="A8">
        <v>106</v>
      </c>
      <c r="B8" t="s">
        <v>17</v>
      </c>
      <c r="C8" t="s">
        <v>5</v>
      </c>
      <c r="D8" t="s">
        <v>18</v>
      </c>
    </row>
    <row r="9" spans="1:4" x14ac:dyDescent="0.3">
      <c r="A9">
        <v>107</v>
      </c>
      <c r="B9" t="s">
        <v>19</v>
      </c>
      <c r="C9" t="s">
        <v>5</v>
      </c>
      <c r="D9" t="s">
        <v>12</v>
      </c>
    </row>
    <row r="10" spans="1:4" x14ac:dyDescent="0.3">
      <c r="A10">
        <v>108</v>
      </c>
      <c r="B10" t="s">
        <v>20</v>
      </c>
      <c r="C10" t="s">
        <v>11</v>
      </c>
      <c r="D10" t="s">
        <v>21</v>
      </c>
    </row>
    <row r="11" spans="1:4" x14ac:dyDescent="0.3">
      <c r="A11">
        <v>109</v>
      </c>
      <c r="B11" t="s">
        <v>22</v>
      </c>
      <c r="C11" t="s">
        <v>8</v>
      </c>
      <c r="D11" t="s">
        <v>12</v>
      </c>
    </row>
    <row r="12" spans="1:4" x14ac:dyDescent="0.3">
      <c r="A12">
        <v>110</v>
      </c>
      <c r="B12" t="s">
        <v>45</v>
      </c>
      <c r="C12" t="s">
        <v>11</v>
      </c>
      <c r="D12" t="s">
        <v>46</v>
      </c>
    </row>
    <row r="13" spans="1:4" x14ac:dyDescent="0.3">
      <c r="A13">
        <v>111</v>
      </c>
      <c r="B13" t="s">
        <v>47</v>
      </c>
      <c r="C13" t="s">
        <v>11</v>
      </c>
      <c r="D13" t="s">
        <v>9</v>
      </c>
    </row>
    <row r="14" spans="1:4" x14ac:dyDescent="0.3">
      <c r="A14">
        <v>112</v>
      </c>
      <c r="B14" t="s">
        <v>50</v>
      </c>
      <c r="C14" t="s">
        <v>11</v>
      </c>
      <c r="D14" t="s">
        <v>49</v>
      </c>
    </row>
    <row r="15" spans="1:4" x14ac:dyDescent="0.3">
      <c r="A15">
        <v>113</v>
      </c>
      <c r="B15" t="s">
        <v>51</v>
      </c>
      <c r="C15" t="s">
        <v>8</v>
      </c>
      <c r="D15" t="s">
        <v>52</v>
      </c>
    </row>
    <row r="16" spans="1:4" x14ac:dyDescent="0.3">
      <c r="A16">
        <v>114</v>
      </c>
      <c r="B16" t="s">
        <v>48</v>
      </c>
      <c r="C16" t="s">
        <v>11</v>
      </c>
      <c r="D16"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pane ySplit="1" topLeftCell="A2" activePane="bottomLeft" state="frozen"/>
      <selection activeCell="H32" sqref="H32"/>
      <selection pane="bottomLeft" activeCell="H32" sqref="H32"/>
    </sheetView>
  </sheetViews>
  <sheetFormatPr defaultRowHeight="14.4" x14ac:dyDescent="0.3"/>
  <cols>
    <col min="1" max="1" width="16" customWidth="1"/>
    <col min="2" max="2" width="15" customWidth="1"/>
    <col min="3" max="3" width="12.77734375" bestFit="1" customWidth="1"/>
    <col min="4" max="4" width="13" customWidth="1"/>
    <col min="5" max="5" width="17.88671875" customWidth="1"/>
  </cols>
  <sheetData>
    <row r="1" spans="1:9" x14ac:dyDescent="0.3">
      <c r="A1" s="5" t="s">
        <v>44</v>
      </c>
      <c r="B1" s="1" t="s">
        <v>23</v>
      </c>
      <c r="C1" s="1" t="s">
        <v>24</v>
      </c>
      <c r="D1" s="1" t="s">
        <v>25</v>
      </c>
      <c r="E1" s="1" t="s">
        <v>26</v>
      </c>
    </row>
    <row r="2" spans="1:9" x14ac:dyDescent="0.3">
      <c r="A2">
        <v>1</v>
      </c>
      <c r="B2" t="s">
        <v>27</v>
      </c>
      <c r="C2">
        <v>32000</v>
      </c>
      <c r="D2">
        <v>25000</v>
      </c>
      <c r="E2" t="s">
        <v>53</v>
      </c>
    </row>
    <row r="3" spans="1:9" x14ac:dyDescent="0.3">
      <c r="A3">
        <v>2</v>
      </c>
      <c r="B3" t="s">
        <v>29</v>
      </c>
      <c r="C3">
        <v>1500</v>
      </c>
      <c r="D3">
        <v>1000</v>
      </c>
      <c r="E3" t="s">
        <v>28</v>
      </c>
    </row>
    <row r="4" spans="1:9" x14ac:dyDescent="0.3">
      <c r="A4">
        <v>3</v>
      </c>
      <c r="B4" t="s">
        <v>30</v>
      </c>
      <c r="C4">
        <v>5800</v>
      </c>
      <c r="D4">
        <v>5000</v>
      </c>
      <c r="E4" t="s">
        <v>28</v>
      </c>
    </row>
    <row r="5" spans="1:9" x14ac:dyDescent="0.3">
      <c r="A5">
        <v>4</v>
      </c>
      <c r="B5" t="s">
        <v>54</v>
      </c>
      <c r="C5">
        <v>1455</v>
      </c>
      <c r="D5">
        <v>1200</v>
      </c>
      <c r="E5" t="s">
        <v>31</v>
      </c>
    </row>
    <row r="6" spans="1:9" x14ac:dyDescent="0.3">
      <c r="A6">
        <v>5</v>
      </c>
      <c r="B6" t="s">
        <v>66</v>
      </c>
      <c r="C6">
        <v>18000</v>
      </c>
      <c r="D6">
        <v>15000</v>
      </c>
      <c r="E6" t="s">
        <v>55</v>
      </c>
    </row>
    <row r="7" spans="1:9" x14ac:dyDescent="0.3">
      <c r="A7">
        <v>6</v>
      </c>
      <c r="B7" t="s">
        <v>56</v>
      </c>
      <c r="C7">
        <v>22000</v>
      </c>
      <c r="D7">
        <v>18500</v>
      </c>
      <c r="E7" t="s">
        <v>55</v>
      </c>
    </row>
    <row r="8" spans="1:9" x14ac:dyDescent="0.3">
      <c r="A8">
        <v>7</v>
      </c>
      <c r="B8" t="s">
        <v>57</v>
      </c>
      <c r="C8">
        <v>17000</v>
      </c>
      <c r="D8">
        <v>14000</v>
      </c>
      <c r="E8" t="s">
        <v>55</v>
      </c>
    </row>
    <row r="9" spans="1:9" x14ac:dyDescent="0.3">
      <c r="A9">
        <v>8</v>
      </c>
      <c r="B9" t="s">
        <v>58</v>
      </c>
      <c r="C9">
        <v>12000</v>
      </c>
      <c r="D9">
        <v>9500</v>
      </c>
      <c r="E9" t="s">
        <v>55</v>
      </c>
    </row>
    <row r="10" spans="1:9" x14ac:dyDescent="0.3">
      <c r="A10">
        <v>9</v>
      </c>
      <c r="B10" t="s">
        <v>59</v>
      </c>
      <c r="C10">
        <v>9000</v>
      </c>
      <c r="D10">
        <v>9000</v>
      </c>
      <c r="E10" t="s">
        <v>60</v>
      </c>
    </row>
    <row r="11" spans="1:9" x14ac:dyDescent="0.3">
      <c r="A11">
        <v>20</v>
      </c>
      <c r="B11" t="s">
        <v>61</v>
      </c>
      <c r="C11">
        <v>16000</v>
      </c>
      <c r="D11">
        <v>13000</v>
      </c>
      <c r="E11" t="s">
        <v>60</v>
      </c>
    </row>
    <row r="12" spans="1:9" x14ac:dyDescent="0.3">
      <c r="A12">
        <v>11</v>
      </c>
      <c r="B12" t="s">
        <v>62</v>
      </c>
      <c r="C12">
        <v>14000</v>
      </c>
      <c r="D12">
        <v>11000</v>
      </c>
      <c r="E12" t="s">
        <v>60</v>
      </c>
      <c r="I12" s="6"/>
    </row>
    <row r="13" spans="1:9" x14ac:dyDescent="0.3">
      <c r="A13">
        <v>12</v>
      </c>
      <c r="B13" t="s">
        <v>63</v>
      </c>
      <c r="C13">
        <v>25000</v>
      </c>
      <c r="D13">
        <v>21000</v>
      </c>
      <c r="E13" t="s">
        <v>53</v>
      </c>
      <c r="I13" s="6"/>
    </row>
    <row r="14" spans="1:9" x14ac:dyDescent="0.3">
      <c r="A14">
        <v>13</v>
      </c>
      <c r="B14" t="s">
        <v>65</v>
      </c>
      <c r="C14">
        <v>35000</v>
      </c>
      <c r="D14">
        <v>30000</v>
      </c>
      <c r="E14" t="s">
        <v>53</v>
      </c>
    </row>
    <row r="15" spans="1:9" x14ac:dyDescent="0.3">
      <c r="A15">
        <v>14</v>
      </c>
      <c r="B15" t="s">
        <v>64</v>
      </c>
      <c r="C15">
        <v>28000</v>
      </c>
      <c r="D15">
        <v>24000</v>
      </c>
      <c r="E15"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tabSelected="1" zoomScale="85" zoomScaleNormal="85" workbookViewId="0">
      <pane ySplit="1" topLeftCell="A2" activePane="bottomLeft" state="frozen"/>
      <selection pane="bottomLeft" activeCell="R14" sqref="R14"/>
    </sheetView>
  </sheetViews>
  <sheetFormatPr defaultRowHeight="14.4" x14ac:dyDescent="0.3"/>
  <cols>
    <col min="1" max="1" width="9" customWidth="1"/>
    <col min="2" max="3" width="12" customWidth="1"/>
    <col min="4" max="4" width="16" customWidth="1"/>
    <col min="5" max="5" width="13" customWidth="1"/>
    <col min="6" max="6" width="6.5546875" customWidth="1"/>
    <col min="7" max="7" width="12.77734375" customWidth="1"/>
    <col min="8" max="8" width="13" customWidth="1"/>
    <col min="9" max="9" width="11.6640625" customWidth="1"/>
    <col min="10" max="10" width="9" bestFit="1" customWidth="1"/>
    <col min="11" max="11" width="12.77734375" bestFit="1" customWidth="1"/>
    <col min="12" max="12" width="20.77734375" customWidth="1"/>
    <col min="14" max="14" width="11.109375" customWidth="1"/>
  </cols>
  <sheetData>
    <row r="1" spans="1:14" x14ac:dyDescent="0.3">
      <c r="A1" s="1" t="s">
        <v>32</v>
      </c>
      <c r="B1" s="1" t="s">
        <v>33</v>
      </c>
      <c r="C1" s="1" t="s">
        <v>0</v>
      </c>
      <c r="D1" s="1" t="s">
        <v>23</v>
      </c>
      <c r="E1" s="1" t="s">
        <v>26</v>
      </c>
      <c r="F1" s="1" t="s">
        <v>67</v>
      </c>
      <c r="G1" s="1" t="s">
        <v>34</v>
      </c>
      <c r="H1" s="1" t="s">
        <v>35</v>
      </c>
      <c r="I1" s="1" t="s">
        <v>36</v>
      </c>
      <c r="J1" s="1" t="s">
        <v>37</v>
      </c>
      <c r="K1" s="1" t="s">
        <v>24</v>
      </c>
      <c r="L1" s="1" t="s">
        <v>38</v>
      </c>
      <c r="M1" s="1" t="s">
        <v>79</v>
      </c>
      <c r="N1" s="1" t="s">
        <v>25</v>
      </c>
    </row>
    <row r="2" spans="1:14" x14ac:dyDescent="0.3">
      <c r="A2">
        <v>1</v>
      </c>
      <c r="B2" s="2">
        <v>45841</v>
      </c>
      <c r="C2">
        <v>101</v>
      </c>
      <c r="D2" t="s">
        <v>27</v>
      </c>
      <c r="E2" t="s">
        <v>28</v>
      </c>
      <c r="F2">
        <v>1</v>
      </c>
      <c r="G2">
        <f>K2*(1-H2)</f>
        <v>32000</v>
      </c>
      <c r="H2" s="3">
        <v>0</v>
      </c>
      <c r="I2" t="s">
        <v>39</v>
      </c>
      <c r="J2" t="str">
        <f t="shared" ref="J2:J31" si="0">IF(F2&gt;=10,"Bulk","Normal")</f>
        <v>Normal</v>
      </c>
      <c r="K2">
        <f>_xlfn.SINGLE(_xlfn.XLOOKUP(D2,Products!B:B,Products!C:C,"Not Found"))</f>
        <v>32000</v>
      </c>
      <c r="L2" s="4">
        <f>F2*G2</f>
        <v>32000</v>
      </c>
      <c r="M2">
        <f>L2-(N2*F2)</f>
        <v>7000</v>
      </c>
      <c r="N2">
        <f>_xlfn.XLOOKUP(D:D,Products!B:B,Products!D:D)</f>
        <v>25000</v>
      </c>
    </row>
    <row r="3" spans="1:14" x14ac:dyDescent="0.3">
      <c r="A3">
        <v>2</v>
      </c>
      <c r="B3" s="2">
        <v>45846</v>
      </c>
      <c r="C3">
        <v>102</v>
      </c>
      <c r="D3" t="s">
        <v>57</v>
      </c>
      <c r="E3" t="s">
        <v>28</v>
      </c>
      <c r="F3">
        <v>12</v>
      </c>
      <c r="G3">
        <f t="shared" ref="G3:G31" si="1">K3*(1-H3)</f>
        <v>15300</v>
      </c>
      <c r="H3" s="3">
        <v>0.1</v>
      </c>
      <c r="I3" t="s">
        <v>40</v>
      </c>
      <c r="J3" t="str">
        <f t="shared" si="0"/>
        <v>Bulk</v>
      </c>
      <c r="K3">
        <f>_xlfn.SINGLE(_xlfn.XLOOKUP(D3,Products!B:B,Products!C:C,"Not Found"))</f>
        <v>17000</v>
      </c>
      <c r="L3" s="4">
        <f t="shared" ref="L3:L31" si="2">F3*G3</f>
        <v>183600</v>
      </c>
      <c r="M3">
        <f t="shared" ref="M3:M31" si="3">L3-(N3*F3)</f>
        <v>15600</v>
      </c>
      <c r="N3">
        <f>_xlfn.XLOOKUP(D:D,Products!B:B,Products!D:D)</f>
        <v>14000</v>
      </c>
    </row>
    <row r="4" spans="1:14" x14ac:dyDescent="0.3">
      <c r="A4">
        <v>3</v>
      </c>
      <c r="B4" s="2">
        <v>45853</v>
      </c>
      <c r="C4">
        <v>111</v>
      </c>
      <c r="D4" t="s">
        <v>59</v>
      </c>
      <c r="E4" t="s">
        <v>31</v>
      </c>
      <c r="F4">
        <v>5</v>
      </c>
      <c r="G4">
        <f t="shared" si="1"/>
        <v>8550</v>
      </c>
      <c r="H4" s="3">
        <v>0.05</v>
      </c>
      <c r="I4" t="s">
        <v>41</v>
      </c>
      <c r="J4" t="str">
        <f t="shared" si="0"/>
        <v>Normal</v>
      </c>
      <c r="K4">
        <f>_xlfn.SINGLE(_xlfn.XLOOKUP(D4,Products!B:B,Products!C:C,"Not Found"))</f>
        <v>9000</v>
      </c>
      <c r="L4" s="4">
        <f t="shared" si="2"/>
        <v>42750</v>
      </c>
      <c r="M4">
        <f t="shared" si="3"/>
        <v>-2250</v>
      </c>
      <c r="N4">
        <f>_xlfn.XLOOKUP(D:D,Products!B:B,Products!D:D)</f>
        <v>9000</v>
      </c>
    </row>
    <row r="5" spans="1:14" x14ac:dyDescent="0.3">
      <c r="A5">
        <v>4</v>
      </c>
      <c r="B5" s="2">
        <v>45859</v>
      </c>
      <c r="C5">
        <v>106</v>
      </c>
      <c r="D5" t="s">
        <v>30</v>
      </c>
      <c r="E5" t="str">
        <f>_xlfn.XLOOKUP(D:D,Products!B:B,Products!E:E)</f>
        <v>Electronics</v>
      </c>
      <c r="F5">
        <v>3</v>
      </c>
      <c r="G5">
        <f t="shared" si="1"/>
        <v>5104</v>
      </c>
      <c r="H5" s="3">
        <v>0.12</v>
      </c>
      <c r="I5" t="s">
        <v>70</v>
      </c>
      <c r="J5" t="str">
        <f t="shared" si="0"/>
        <v>Normal</v>
      </c>
      <c r="K5">
        <f>_xlfn.SINGLE(_xlfn.XLOOKUP(D5,Products!B:B,Products!C:C,"Not Found"))</f>
        <v>5800</v>
      </c>
      <c r="L5" s="4">
        <f t="shared" si="2"/>
        <v>15312</v>
      </c>
      <c r="M5">
        <f t="shared" si="3"/>
        <v>312</v>
      </c>
      <c r="N5">
        <f>_xlfn.XLOOKUP(D:D,Products!B:B,Products!D:D)</f>
        <v>5000</v>
      </c>
    </row>
    <row r="6" spans="1:14" x14ac:dyDescent="0.3">
      <c r="A6">
        <v>5</v>
      </c>
      <c r="B6" s="2">
        <v>45866</v>
      </c>
      <c r="C6">
        <v>105</v>
      </c>
      <c r="D6" t="s">
        <v>29</v>
      </c>
      <c r="E6" t="str">
        <f>_xlfn.XLOOKUP(D:D,Products!B:B,Products!E:E)</f>
        <v>Electronics</v>
      </c>
      <c r="F6">
        <v>1</v>
      </c>
      <c r="G6">
        <f t="shared" si="1"/>
        <v>1500</v>
      </c>
      <c r="H6" s="3">
        <v>0</v>
      </c>
      <c r="I6" t="s">
        <v>42</v>
      </c>
      <c r="J6" t="str">
        <f t="shared" si="0"/>
        <v>Normal</v>
      </c>
      <c r="K6">
        <f>_xlfn.SINGLE(_xlfn.XLOOKUP(D6,Products!B:B,Products!C:C,"Not Found"))</f>
        <v>1500</v>
      </c>
      <c r="L6" s="4">
        <f t="shared" si="2"/>
        <v>1500</v>
      </c>
      <c r="M6">
        <f t="shared" si="3"/>
        <v>500</v>
      </c>
      <c r="N6">
        <f>_xlfn.XLOOKUP(D:D,Products!B:B,Products!D:D)</f>
        <v>1000</v>
      </c>
    </row>
    <row r="7" spans="1:14" x14ac:dyDescent="0.3">
      <c r="A7">
        <v>6</v>
      </c>
      <c r="B7" s="2">
        <v>45871</v>
      </c>
      <c r="C7">
        <v>111</v>
      </c>
      <c r="D7" t="s">
        <v>66</v>
      </c>
      <c r="E7" t="str">
        <f>_xlfn.XLOOKUP(D:D,Products!B:B,Products!E:E)</f>
        <v>Phone</v>
      </c>
      <c r="F7">
        <v>2</v>
      </c>
      <c r="G7">
        <f t="shared" si="1"/>
        <v>15300</v>
      </c>
      <c r="H7" s="3">
        <v>0.15</v>
      </c>
      <c r="I7" t="s">
        <v>70</v>
      </c>
      <c r="J7" t="str">
        <f t="shared" si="0"/>
        <v>Normal</v>
      </c>
      <c r="K7">
        <f>_xlfn.SINGLE(_xlfn.XLOOKUP(D7,Products!B:B,Products!C:C,"Not Found"))</f>
        <v>18000</v>
      </c>
      <c r="L7" s="4">
        <f t="shared" si="2"/>
        <v>30600</v>
      </c>
      <c r="M7">
        <f t="shared" si="3"/>
        <v>600</v>
      </c>
      <c r="N7">
        <f>_xlfn.XLOOKUP(D:D,Products!B:B,Products!D:D)</f>
        <v>15000</v>
      </c>
    </row>
    <row r="8" spans="1:14" x14ac:dyDescent="0.3">
      <c r="A8">
        <v>7</v>
      </c>
      <c r="B8" s="2">
        <v>45875</v>
      </c>
      <c r="C8">
        <v>107</v>
      </c>
      <c r="D8" t="s">
        <v>65</v>
      </c>
      <c r="E8" t="str">
        <f>_xlfn.XLOOKUP(D:D,Products!B:B,Products!E:E)</f>
        <v>Laptop</v>
      </c>
      <c r="F8">
        <v>9</v>
      </c>
      <c r="G8">
        <f t="shared" si="1"/>
        <v>33950</v>
      </c>
      <c r="H8" s="3">
        <v>0.03</v>
      </c>
      <c r="I8" t="s">
        <v>43</v>
      </c>
      <c r="J8" t="str">
        <f t="shared" si="0"/>
        <v>Normal</v>
      </c>
      <c r="K8">
        <f>_xlfn.SINGLE(_xlfn.XLOOKUP(D8,Products!B:B,Products!C:C,"Not Found"))</f>
        <v>35000</v>
      </c>
      <c r="L8" s="4">
        <f t="shared" si="2"/>
        <v>305550</v>
      </c>
      <c r="M8">
        <f t="shared" si="3"/>
        <v>35550</v>
      </c>
      <c r="N8">
        <f>_xlfn.XLOOKUP(D:D,Products!B:B,Products!D:D)</f>
        <v>30000</v>
      </c>
    </row>
    <row r="9" spans="1:14" x14ac:dyDescent="0.3">
      <c r="A9">
        <v>8</v>
      </c>
      <c r="B9" s="2">
        <v>45882</v>
      </c>
      <c r="C9">
        <v>113</v>
      </c>
      <c r="D9" t="s">
        <v>54</v>
      </c>
      <c r="E9" t="str">
        <f>_xlfn.XLOOKUP(D:D,Products!B:B,Products!E:E)</f>
        <v>Furniture</v>
      </c>
      <c r="F9">
        <v>10</v>
      </c>
      <c r="G9">
        <f t="shared" si="1"/>
        <v>1455</v>
      </c>
      <c r="H9" s="3">
        <v>0</v>
      </c>
      <c r="I9" t="s">
        <v>47</v>
      </c>
      <c r="J9" t="str">
        <f t="shared" si="0"/>
        <v>Bulk</v>
      </c>
      <c r="K9">
        <f>_xlfn.SINGLE(_xlfn.XLOOKUP(D9,Products!B:B,Products!C:C,"Not Found"))</f>
        <v>1455</v>
      </c>
      <c r="L9" s="4">
        <f t="shared" si="2"/>
        <v>14550</v>
      </c>
      <c r="M9">
        <f t="shared" si="3"/>
        <v>2550</v>
      </c>
      <c r="N9">
        <f>_xlfn.XLOOKUP(D:D,Products!B:B,Products!D:D)</f>
        <v>1200</v>
      </c>
    </row>
    <row r="10" spans="1:14" x14ac:dyDescent="0.3">
      <c r="A10">
        <v>9</v>
      </c>
      <c r="B10" s="2">
        <v>45888</v>
      </c>
      <c r="C10">
        <v>109</v>
      </c>
      <c r="D10" t="s">
        <v>62</v>
      </c>
      <c r="E10" t="str">
        <f>_xlfn.XLOOKUP(D:D,Products!B:B,Products!E:E)</f>
        <v>Tablet</v>
      </c>
      <c r="F10">
        <v>1</v>
      </c>
      <c r="G10">
        <f t="shared" si="1"/>
        <v>11200</v>
      </c>
      <c r="H10" s="3">
        <v>0.2</v>
      </c>
      <c r="I10" t="s">
        <v>71</v>
      </c>
      <c r="J10" t="str">
        <f t="shared" si="0"/>
        <v>Normal</v>
      </c>
      <c r="K10">
        <f>_xlfn.SINGLE(_xlfn.XLOOKUP(D10,Products!B:B,Products!C:C,"Not Found"))</f>
        <v>14000</v>
      </c>
      <c r="L10" s="4">
        <f t="shared" si="2"/>
        <v>11200</v>
      </c>
      <c r="M10">
        <f t="shared" si="3"/>
        <v>200</v>
      </c>
      <c r="N10">
        <f>_xlfn.XLOOKUP(D:D,Products!B:B,Products!D:D)</f>
        <v>11000</v>
      </c>
    </row>
    <row r="11" spans="1:14" x14ac:dyDescent="0.3">
      <c r="A11">
        <v>10</v>
      </c>
      <c r="B11" s="2">
        <v>45895</v>
      </c>
      <c r="C11">
        <v>110</v>
      </c>
      <c r="D11" t="s">
        <v>27</v>
      </c>
      <c r="E11" t="str">
        <f>_xlfn.XLOOKUP(D:D,Products!B:B,Products!E:E)</f>
        <v>Laptop</v>
      </c>
      <c r="F11">
        <v>4</v>
      </c>
      <c r="G11">
        <f t="shared" si="1"/>
        <v>29759.999999999996</v>
      </c>
      <c r="H11" s="3">
        <v>7.0000000000000007E-2</v>
      </c>
      <c r="I11" t="s">
        <v>47</v>
      </c>
      <c r="J11" t="str">
        <f t="shared" si="0"/>
        <v>Normal</v>
      </c>
      <c r="K11">
        <f>_xlfn.SINGLE(_xlfn.XLOOKUP(D11,Products!B:B,Products!C:C,"Not Found"))</f>
        <v>32000</v>
      </c>
      <c r="L11" s="4">
        <f t="shared" si="2"/>
        <v>119039.99999999999</v>
      </c>
      <c r="M11">
        <f t="shared" si="3"/>
        <v>19039.999999999985</v>
      </c>
      <c r="N11">
        <f>_xlfn.XLOOKUP(D:D,Products!B:B,Products!D:D)</f>
        <v>25000</v>
      </c>
    </row>
    <row r="12" spans="1:14" x14ac:dyDescent="0.3">
      <c r="A12">
        <v>11</v>
      </c>
      <c r="B12" s="2">
        <v>45901</v>
      </c>
      <c r="C12">
        <v>101</v>
      </c>
      <c r="D12" t="s">
        <v>30</v>
      </c>
      <c r="E12" t="str">
        <f>_xlfn.XLOOKUP(D:D,Products!B:B,Products!E:E)</f>
        <v>Electronics</v>
      </c>
      <c r="F12">
        <v>11</v>
      </c>
      <c r="G12">
        <f t="shared" si="1"/>
        <v>5220</v>
      </c>
      <c r="H12" s="3">
        <v>0.1</v>
      </c>
      <c r="I12" t="s">
        <v>69</v>
      </c>
      <c r="J12" t="str">
        <f t="shared" si="0"/>
        <v>Bulk</v>
      </c>
      <c r="K12">
        <f>_xlfn.SINGLE(_xlfn.XLOOKUP(D12,Products!B:B,Products!C:C,"Not Found"))</f>
        <v>5800</v>
      </c>
      <c r="L12" s="4">
        <f t="shared" si="2"/>
        <v>57420</v>
      </c>
      <c r="M12">
        <f t="shared" si="3"/>
        <v>2420</v>
      </c>
      <c r="N12">
        <f>_xlfn.XLOOKUP(D:D,Products!B:B,Products!D:D)</f>
        <v>5000</v>
      </c>
    </row>
    <row r="13" spans="1:14" x14ac:dyDescent="0.3">
      <c r="A13">
        <v>12</v>
      </c>
      <c r="B13" s="2">
        <v>45907</v>
      </c>
      <c r="C13">
        <v>114</v>
      </c>
      <c r="D13" t="s">
        <v>66</v>
      </c>
      <c r="E13" t="str">
        <f>_xlfn.XLOOKUP(D:D,Products!B:B,Products!E:E)</f>
        <v>Phone</v>
      </c>
      <c r="F13">
        <v>6</v>
      </c>
      <c r="G13">
        <f t="shared" si="1"/>
        <v>17280</v>
      </c>
      <c r="H13" s="3">
        <v>0.04</v>
      </c>
      <c r="I13" t="s">
        <v>43</v>
      </c>
      <c r="J13" t="str">
        <f t="shared" si="0"/>
        <v>Normal</v>
      </c>
      <c r="K13">
        <f>_xlfn.SINGLE(_xlfn.XLOOKUP(D13,Products!B:B,Products!C:C,"Not Found"))</f>
        <v>18000</v>
      </c>
      <c r="L13" s="4">
        <f t="shared" si="2"/>
        <v>103680</v>
      </c>
      <c r="M13">
        <f t="shared" si="3"/>
        <v>13680</v>
      </c>
      <c r="N13">
        <f>_xlfn.XLOOKUP(D:D,Products!B:B,Products!D:D)</f>
        <v>15000</v>
      </c>
    </row>
    <row r="14" spans="1:14" x14ac:dyDescent="0.3">
      <c r="A14">
        <v>13</v>
      </c>
      <c r="B14" s="2">
        <v>45914</v>
      </c>
      <c r="C14">
        <v>112</v>
      </c>
      <c r="D14" t="s">
        <v>64</v>
      </c>
      <c r="E14" t="str">
        <f>_xlfn.XLOOKUP(D:D,Products!B:B,Products!E:E)</f>
        <v>Laptop</v>
      </c>
      <c r="F14">
        <v>20</v>
      </c>
      <c r="G14">
        <f t="shared" si="1"/>
        <v>24640</v>
      </c>
      <c r="H14" s="3">
        <v>0.12</v>
      </c>
      <c r="I14" t="s">
        <v>40</v>
      </c>
      <c r="J14" t="str">
        <f t="shared" si="0"/>
        <v>Bulk</v>
      </c>
      <c r="K14">
        <f>_xlfn.SINGLE(_xlfn.XLOOKUP(D14,Products!B:B,Products!C:C,"Not Found"))</f>
        <v>28000</v>
      </c>
      <c r="L14" s="4">
        <f t="shared" si="2"/>
        <v>492800</v>
      </c>
      <c r="M14">
        <f t="shared" si="3"/>
        <v>12800</v>
      </c>
      <c r="N14">
        <f>_xlfn.XLOOKUP(D:D,Products!B:B,Products!D:D)</f>
        <v>24000</v>
      </c>
    </row>
    <row r="15" spans="1:14" x14ac:dyDescent="0.3">
      <c r="A15">
        <v>14</v>
      </c>
      <c r="B15" s="2">
        <v>45920</v>
      </c>
      <c r="C15">
        <v>103</v>
      </c>
      <c r="D15" t="s">
        <v>61</v>
      </c>
      <c r="E15" t="str">
        <f>_xlfn.XLOOKUP(D:D,Products!B:B,Products!E:E)</f>
        <v>Tablet</v>
      </c>
      <c r="F15">
        <v>7</v>
      </c>
      <c r="G15">
        <f t="shared" si="1"/>
        <v>16000</v>
      </c>
      <c r="H15" s="3">
        <v>0</v>
      </c>
      <c r="I15" t="s">
        <v>39</v>
      </c>
      <c r="J15" t="str">
        <f t="shared" si="0"/>
        <v>Normal</v>
      </c>
      <c r="K15">
        <f>_xlfn.SINGLE(_xlfn.XLOOKUP(D15,Products!B:B,Products!C:C,"Not Found"))</f>
        <v>16000</v>
      </c>
      <c r="L15" s="4">
        <f t="shared" si="2"/>
        <v>112000</v>
      </c>
      <c r="M15">
        <f t="shared" si="3"/>
        <v>21000</v>
      </c>
      <c r="N15">
        <f>_xlfn.XLOOKUP(D:D,Products!B:B,Products!D:D)</f>
        <v>13000</v>
      </c>
    </row>
    <row r="16" spans="1:14" x14ac:dyDescent="0.3">
      <c r="A16">
        <v>15</v>
      </c>
      <c r="B16" s="2">
        <v>45927</v>
      </c>
      <c r="C16">
        <v>109</v>
      </c>
      <c r="D16" t="s">
        <v>27</v>
      </c>
      <c r="E16" t="str">
        <f>_xlfn.XLOOKUP(D:D,Products!B:B,Products!E:E)</f>
        <v>Laptop</v>
      </c>
      <c r="F16">
        <v>1</v>
      </c>
      <c r="G16">
        <f t="shared" si="1"/>
        <v>30400</v>
      </c>
      <c r="H16" s="3">
        <v>0.05</v>
      </c>
      <c r="I16" t="s">
        <v>42</v>
      </c>
      <c r="J16" t="str">
        <f t="shared" si="0"/>
        <v>Normal</v>
      </c>
      <c r="K16">
        <f>_xlfn.SINGLE(_xlfn.XLOOKUP(D16,Products!B:B,Products!C:C,"Not Found"))</f>
        <v>32000</v>
      </c>
      <c r="L16" s="4">
        <f t="shared" si="2"/>
        <v>30400</v>
      </c>
      <c r="M16">
        <f t="shared" si="3"/>
        <v>5400</v>
      </c>
      <c r="N16">
        <f>_xlfn.XLOOKUP(D:D,Products!B:B,Products!D:D)</f>
        <v>25000</v>
      </c>
    </row>
    <row r="17" spans="1:14" x14ac:dyDescent="0.3">
      <c r="A17">
        <v>16</v>
      </c>
      <c r="B17" s="2">
        <v>45933</v>
      </c>
      <c r="C17">
        <v>113</v>
      </c>
      <c r="D17" t="s">
        <v>66</v>
      </c>
      <c r="E17" t="str">
        <f>_xlfn.XLOOKUP(D:D,Products!B:B,Products!E:E)</f>
        <v>Phone</v>
      </c>
      <c r="F17">
        <v>3</v>
      </c>
      <c r="G17">
        <f t="shared" si="1"/>
        <v>16560</v>
      </c>
      <c r="H17" s="3">
        <v>0.08</v>
      </c>
      <c r="I17" t="s">
        <v>47</v>
      </c>
      <c r="J17" t="str">
        <f t="shared" si="0"/>
        <v>Normal</v>
      </c>
      <c r="K17">
        <f>_xlfn.SINGLE(_xlfn.XLOOKUP(D17,Products!B:B,Products!C:C,"Not Found"))</f>
        <v>18000</v>
      </c>
      <c r="L17" s="4">
        <f t="shared" si="2"/>
        <v>49680</v>
      </c>
      <c r="M17">
        <f t="shared" si="3"/>
        <v>4680</v>
      </c>
      <c r="N17">
        <f>_xlfn.XLOOKUP(D:D,Products!B:B,Products!D:D)</f>
        <v>15000</v>
      </c>
    </row>
    <row r="18" spans="1:14" x14ac:dyDescent="0.3">
      <c r="A18">
        <v>17</v>
      </c>
      <c r="B18" s="2">
        <v>45939</v>
      </c>
      <c r="C18">
        <v>107</v>
      </c>
      <c r="D18" t="s">
        <v>65</v>
      </c>
      <c r="E18" t="str">
        <f>_xlfn.XLOOKUP(D:D,Products!B:B,Products!E:E)</f>
        <v>Laptop</v>
      </c>
      <c r="F18">
        <v>15</v>
      </c>
      <c r="G18">
        <f t="shared" si="1"/>
        <v>31500</v>
      </c>
      <c r="H18" s="3">
        <v>0.1</v>
      </c>
      <c r="I18" t="s">
        <v>47</v>
      </c>
      <c r="J18" t="str">
        <f t="shared" si="0"/>
        <v>Bulk</v>
      </c>
      <c r="K18">
        <f>_xlfn.SINGLE(_xlfn.XLOOKUP(D18,Products!B:B,Products!C:C,"Not Found"))</f>
        <v>35000</v>
      </c>
      <c r="L18" s="4">
        <f t="shared" si="2"/>
        <v>472500</v>
      </c>
      <c r="M18">
        <f t="shared" si="3"/>
        <v>22500</v>
      </c>
      <c r="N18">
        <f>_xlfn.XLOOKUP(D:D,Products!B:B,Products!D:D)</f>
        <v>30000</v>
      </c>
    </row>
    <row r="19" spans="1:14" x14ac:dyDescent="0.3">
      <c r="A19">
        <v>18</v>
      </c>
      <c r="B19" s="2">
        <v>45946</v>
      </c>
      <c r="C19">
        <v>104</v>
      </c>
      <c r="D19" t="s">
        <v>54</v>
      </c>
      <c r="E19" t="str">
        <f>_xlfn.XLOOKUP(D:D,Products!B:B,Products!E:E)</f>
        <v>Furniture</v>
      </c>
      <c r="F19">
        <v>8</v>
      </c>
      <c r="G19">
        <f t="shared" si="1"/>
        <v>1367.6999999999998</v>
      </c>
      <c r="H19" s="3">
        <v>0.06</v>
      </c>
      <c r="I19" t="s">
        <v>41</v>
      </c>
      <c r="J19" t="str">
        <f t="shared" si="0"/>
        <v>Normal</v>
      </c>
      <c r="K19">
        <f>_xlfn.SINGLE(_xlfn.XLOOKUP(D19,Products!B:B,Products!C:C,"Not Found"))</f>
        <v>1455</v>
      </c>
      <c r="L19" s="4">
        <f t="shared" si="2"/>
        <v>10941.599999999999</v>
      </c>
      <c r="M19">
        <f t="shared" si="3"/>
        <v>1341.5999999999985</v>
      </c>
      <c r="N19">
        <f>_xlfn.XLOOKUP(D:D,Products!B:B,Products!D:D)</f>
        <v>1200</v>
      </c>
    </row>
    <row r="20" spans="1:14" x14ac:dyDescent="0.3">
      <c r="A20">
        <v>19</v>
      </c>
      <c r="B20" s="2">
        <v>45952</v>
      </c>
      <c r="C20">
        <v>110</v>
      </c>
      <c r="D20" t="s">
        <v>30</v>
      </c>
      <c r="E20" t="str">
        <f>_xlfn.XLOOKUP(D:D,Products!B:B,Products!E:E)</f>
        <v>Electronics</v>
      </c>
      <c r="F20">
        <v>2</v>
      </c>
      <c r="G20">
        <f t="shared" si="1"/>
        <v>5104</v>
      </c>
      <c r="H20" s="3">
        <v>0.12</v>
      </c>
      <c r="I20" t="s">
        <v>47</v>
      </c>
      <c r="J20" t="str">
        <f t="shared" si="0"/>
        <v>Normal</v>
      </c>
      <c r="K20">
        <f>_xlfn.SINGLE(_xlfn.XLOOKUP(D20,Products!B:B,Products!C:C,"Not Found"))</f>
        <v>5800</v>
      </c>
      <c r="L20" s="4">
        <f t="shared" si="2"/>
        <v>10208</v>
      </c>
      <c r="M20">
        <f t="shared" si="3"/>
        <v>208</v>
      </c>
      <c r="N20">
        <f>_xlfn.XLOOKUP(D:D,Products!B:B,Products!D:D)</f>
        <v>5000</v>
      </c>
    </row>
    <row r="21" spans="1:14" x14ac:dyDescent="0.3">
      <c r="A21">
        <v>20</v>
      </c>
      <c r="B21" s="2">
        <v>45959</v>
      </c>
      <c r="C21">
        <v>106</v>
      </c>
      <c r="D21" t="s">
        <v>59</v>
      </c>
      <c r="E21" t="str">
        <f>_xlfn.XLOOKUP(D:D,Products!B:B,Products!E:E)</f>
        <v>Tablet</v>
      </c>
      <c r="F21">
        <v>5</v>
      </c>
      <c r="G21">
        <f t="shared" si="1"/>
        <v>9000</v>
      </c>
      <c r="H21" s="3">
        <v>0</v>
      </c>
      <c r="I21" t="s">
        <v>40</v>
      </c>
      <c r="J21" t="str">
        <f t="shared" si="0"/>
        <v>Normal</v>
      </c>
      <c r="K21">
        <f>_xlfn.SINGLE(_xlfn.XLOOKUP(D21,Products!B:B,Products!C:C,"Not Found"))</f>
        <v>9000</v>
      </c>
      <c r="L21" s="4">
        <f t="shared" si="2"/>
        <v>45000</v>
      </c>
      <c r="M21">
        <f t="shared" si="3"/>
        <v>0</v>
      </c>
      <c r="N21">
        <f>_xlfn.XLOOKUP(D:D,Products!B:B,Products!D:D)</f>
        <v>9000</v>
      </c>
    </row>
    <row r="22" spans="1:14" x14ac:dyDescent="0.3">
      <c r="A22">
        <v>21</v>
      </c>
      <c r="B22" s="2">
        <v>45965</v>
      </c>
      <c r="C22">
        <v>101</v>
      </c>
      <c r="D22" t="s">
        <v>64</v>
      </c>
      <c r="E22" t="str">
        <f>_xlfn.XLOOKUP(D:D,Products!B:B,Products!E:E)</f>
        <v>Laptop</v>
      </c>
      <c r="F22">
        <v>12</v>
      </c>
      <c r="G22">
        <f t="shared" si="1"/>
        <v>25480</v>
      </c>
      <c r="H22" s="3">
        <v>0.09</v>
      </c>
      <c r="I22" t="s">
        <v>39</v>
      </c>
      <c r="J22" t="str">
        <f t="shared" si="0"/>
        <v>Bulk</v>
      </c>
      <c r="K22">
        <f>_xlfn.SINGLE(_xlfn.XLOOKUP(D22,Products!B:B,Products!C:C,"Not Found"))</f>
        <v>28000</v>
      </c>
      <c r="L22" s="4">
        <f t="shared" si="2"/>
        <v>305760</v>
      </c>
      <c r="M22">
        <f t="shared" si="3"/>
        <v>17760</v>
      </c>
      <c r="N22">
        <f>_xlfn.XLOOKUP(D:D,Products!B:B,Products!D:D)</f>
        <v>24000</v>
      </c>
    </row>
    <row r="23" spans="1:14" x14ac:dyDescent="0.3">
      <c r="A23">
        <v>22</v>
      </c>
      <c r="B23" s="2">
        <v>45971</v>
      </c>
      <c r="C23">
        <v>111</v>
      </c>
      <c r="D23" t="s">
        <v>64</v>
      </c>
      <c r="E23" t="str">
        <f>_xlfn.XLOOKUP(D:D,Products!B:B,Products!E:E)</f>
        <v>Laptop</v>
      </c>
      <c r="F23">
        <v>1</v>
      </c>
      <c r="G23">
        <f t="shared" si="1"/>
        <v>22960</v>
      </c>
      <c r="H23" s="3">
        <v>0.18</v>
      </c>
      <c r="I23" t="s">
        <v>42</v>
      </c>
      <c r="J23" t="str">
        <f t="shared" si="0"/>
        <v>Normal</v>
      </c>
      <c r="K23">
        <f>_xlfn.SINGLE(_xlfn.XLOOKUP(D23,Products!B:B,Products!C:C,"Not Found"))</f>
        <v>28000</v>
      </c>
      <c r="L23" s="4">
        <f t="shared" si="2"/>
        <v>22960</v>
      </c>
      <c r="M23">
        <f t="shared" si="3"/>
        <v>-1040</v>
      </c>
      <c r="N23">
        <f>_xlfn.XLOOKUP(D:D,Products!B:B,Products!D:D)</f>
        <v>24000</v>
      </c>
    </row>
    <row r="24" spans="1:14" x14ac:dyDescent="0.3">
      <c r="A24">
        <v>23</v>
      </c>
      <c r="B24" s="2">
        <v>45978</v>
      </c>
      <c r="C24">
        <v>109</v>
      </c>
      <c r="D24" t="s">
        <v>63</v>
      </c>
      <c r="E24" t="str">
        <f>_xlfn.XLOOKUP(D:D,Products!B:B,Products!E:E)</f>
        <v>Laptop</v>
      </c>
      <c r="F24">
        <v>2</v>
      </c>
      <c r="G24">
        <f t="shared" si="1"/>
        <v>25000</v>
      </c>
      <c r="H24" s="3">
        <v>0</v>
      </c>
      <c r="I24" t="s">
        <v>41</v>
      </c>
      <c r="J24" t="str">
        <f t="shared" si="0"/>
        <v>Normal</v>
      </c>
      <c r="K24">
        <f>_xlfn.SINGLE(_xlfn.XLOOKUP(D24,Products!B:B,Products!C:C,"Not Found"))</f>
        <v>25000</v>
      </c>
      <c r="L24" s="4">
        <f t="shared" si="2"/>
        <v>50000</v>
      </c>
      <c r="M24">
        <f t="shared" si="3"/>
        <v>8000</v>
      </c>
      <c r="N24">
        <f>_xlfn.XLOOKUP(D:D,Products!B:B,Products!D:D)</f>
        <v>21000</v>
      </c>
    </row>
    <row r="25" spans="1:14" x14ac:dyDescent="0.3">
      <c r="A25">
        <v>24</v>
      </c>
      <c r="B25" s="2">
        <v>45984</v>
      </c>
      <c r="C25">
        <v>108</v>
      </c>
      <c r="D25" t="s">
        <v>61</v>
      </c>
      <c r="E25" t="str">
        <f>_xlfn.XLOOKUP(D:D,Products!B:B,Products!E:E)</f>
        <v>Tablet</v>
      </c>
      <c r="F25">
        <v>9</v>
      </c>
      <c r="G25">
        <f t="shared" si="1"/>
        <v>14240</v>
      </c>
      <c r="H25" s="3">
        <v>0.11</v>
      </c>
      <c r="I25" t="s">
        <v>68</v>
      </c>
      <c r="J25" t="str">
        <f t="shared" si="0"/>
        <v>Normal</v>
      </c>
      <c r="K25">
        <f>_xlfn.SINGLE(_xlfn.XLOOKUP(D25,Products!B:B,Products!C:C,"Not Found"))</f>
        <v>16000</v>
      </c>
      <c r="L25" s="4">
        <f t="shared" si="2"/>
        <v>128160</v>
      </c>
      <c r="M25">
        <f t="shared" si="3"/>
        <v>11160</v>
      </c>
      <c r="N25">
        <f>_xlfn.XLOOKUP(D:D,Products!B:B,Products!D:D)</f>
        <v>13000</v>
      </c>
    </row>
    <row r="26" spans="1:14" x14ac:dyDescent="0.3">
      <c r="A26">
        <v>25</v>
      </c>
      <c r="B26" s="2">
        <v>45991</v>
      </c>
      <c r="C26">
        <v>110</v>
      </c>
      <c r="D26" t="s">
        <v>62</v>
      </c>
      <c r="E26" t="str">
        <f>_xlfn.XLOOKUP(D:D,Products!B:B,Products!E:E)</f>
        <v>Tablet</v>
      </c>
      <c r="F26">
        <v>6</v>
      </c>
      <c r="G26">
        <f t="shared" si="1"/>
        <v>13020</v>
      </c>
      <c r="H26" s="3">
        <v>7.0000000000000007E-2</v>
      </c>
      <c r="I26" t="s">
        <v>43</v>
      </c>
      <c r="J26" t="str">
        <f t="shared" si="0"/>
        <v>Normal</v>
      </c>
      <c r="K26">
        <f>_xlfn.SINGLE(_xlfn.XLOOKUP(D26,Products!B:B,Products!C:C,"Not Found"))</f>
        <v>14000</v>
      </c>
      <c r="L26" s="4">
        <f t="shared" si="2"/>
        <v>78120</v>
      </c>
      <c r="M26">
        <f t="shared" si="3"/>
        <v>12120</v>
      </c>
      <c r="N26">
        <f>_xlfn.XLOOKUP(D:D,Products!B:B,Products!D:D)</f>
        <v>11000</v>
      </c>
    </row>
    <row r="27" spans="1:14" x14ac:dyDescent="0.3">
      <c r="A27">
        <v>26</v>
      </c>
      <c r="B27" s="2">
        <v>45996</v>
      </c>
      <c r="C27">
        <v>114</v>
      </c>
      <c r="D27" t="s">
        <v>62</v>
      </c>
      <c r="E27" t="str">
        <f>_xlfn.XLOOKUP(D:D,Products!B:B,Products!E:E)</f>
        <v>Tablet</v>
      </c>
      <c r="F27">
        <v>4</v>
      </c>
      <c r="G27">
        <f t="shared" si="1"/>
        <v>12180</v>
      </c>
      <c r="H27" s="3">
        <v>0.13</v>
      </c>
      <c r="I27" t="s">
        <v>71</v>
      </c>
      <c r="J27" t="str">
        <f t="shared" si="0"/>
        <v>Normal</v>
      </c>
      <c r="K27">
        <f>_xlfn.SINGLE(_xlfn.XLOOKUP(D27,Products!B:B,Products!C:C,"Not Found"))</f>
        <v>14000</v>
      </c>
      <c r="L27" s="4">
        <f t="shared" si="2"/>
        <v>48720</v>
      </c>
      <c r="M27">
        <f t="shared" si="3"/>
        <v>4720</v>
      </c>
      <c r="N27">
        <f>_xlfn.XLOOKUP(D:D,Products!B:B,Products!D:D)</f>
        <v>11000</v>
      </c>
    </row>
    <row r="28" spans="1:14" x14ac:dyDescent="0.3">
      <c r="A28">
        <v>27</v>
      </c>
      <c r="B28" s="2">
        <v>46002</v>
      </c>
      <c r="C28">
        <v>106</v>
      </c>
      <c r="D28" t="s">
        <v>64</v>
      </c>
      <c r="E28" t="str">
        <f>_xlfn.XLOOKUP(D:D,Products!B:B,Products!E:E)</f>
        <v>Laptop</v>
      </c>
      <c r="F28">
        <v>10</v>
      </c>
      <c r="G28">
        <f t="shared" si="1"/>
        <v>26600</v>
      </c>
      <c r="H28" s="3">
        <v>0.05</v>
      </c>
      <c r="I28" t="s">
        <v>39</v>
      </c>
      <c r="J28" t="str">
        <f t="shared" si="0"/>
        <v>Bulk</v>
      </c>
      <c r="K28">
        <f>_xlfn.SINGLE(_xlfn.XLOOKUP(D28,Products!B:B,Products!C:C,"Not Found"))</f>
        <v>28000</v>
      </c>
      <c r="L28" s="4">
        <f t="shared" si="2"/>
        <v>266000</v>
      </c>
      <c r="M28">
        <f t="shared" si="3"/>
        <v>26000</v>
      </c>
      <c r="N28">
        <f>_xlfn.XLOOKUP(D:D,Products!B:B,Products!D:D)</f>
        <v>24000</v>
      </c>
    </row>
    <row r="29" spans="1:14" x14ac:dyDescent="0.3">
      <c r="A29">
        <v>28</v>
      </c>
      <c r="B29" s="2">
        <v>46009</v>
      </c>
      <c r="C29">
        <v>103</v>
      </c>
      <c r="D29" t="s">
        <v>63</v>
      </c>
      <c r="E29" t="str">
        <f>_xlfn.XLOOKUP(D:D,Products!B:B,Products!E:E)</f>
        <v>Laptop</v>
      </c>
      <c r="F29">
        <v>7</v>
      </c>
      <c r="G29">
        <f t="shared" si="1"/>
        <v>22750</v>
      </c>
      <c r="H29" s="3">
        <v>0.09</v>
      </c>
      <c r="I29" t="s">
        <v>69</v>
      </c>
      <c r="J29" t="str">
        <f t="shared" si="0"/>
        <v>Normal</v>
      </c>
      <c r="K29">
        <f>_xlfn.SINGLE(_xlfn.XLOOKUP(D29,Products!B:B,Products!C:C,"Not Found"))</f>
        <v>25000</v>
      </c>
      <c r="L29" s="4">
        <f t="shared" si="2"/>
        <v>159250</v>
      </c>
      <c r="M29">
        <f t="shared" si="3"/>
        <v>12250</v>
      </c>
      <c r="N29">
        <f>_xlfn.XLOOKUP(D:D,Products!B:B,Products!D:D)</f>
        <v>21000</v>
      </c>
    </row>
    <row r="30" spans="1:14" x14ac:dyDescent="0.3">
      <c r="A30">
        <v>29</v>
      </c>
      <c r="B30" s="2">
        <v>46015</v>
      </c>
      <c r="C30">
        <v>105</v>
      </c>
      <c r="D30" t="s">
        <v>54</v>
      </c>
      <c r="E30" t="str">
        <f>_xlfn.XLOOKUP(D:D,Products!B:B,Products!E:E)</f>
        <v>Furniture</v>
      </c>
      <c r="F30">
        <v>1</v>
      </c>
      <c r="G30">
        <f t="shared" si="1"/>
        <v>1455</v>
      </c>
      <c r="H30" s="3">
        <v>0</v>
      </c>
      <c r="I30" t="s">
        <v>42</v>
      </c>
      <c r="J30" t="str">
        <f t="shared" si="0"/>
        <v>Normal</v>
      </c>
      <c r="K30">
        <f>_xlfn.SINGLE(_xlfn.XLOOKUP(D30,Products!B:B,Products!C:C,"Not Found"))</f>
        <v>1455</v>
      </c>
      <c r="L30" s="4">
        <f t="shared" si="2"/>
        <v>1455</v>
      </c>
      <c r="M30">
        <f t="shared" si="3"/>
        <v>255</v>
      </c>
      <c r="N30">
        <f>_xlfn.XLOOKUP(D:D,Products!B:B,Products!D:D)</f>
        <v>1200</v>
      </c>
    </row>
    <row r="31" spans="1:14" x14ac:dyDescent="0.3">
      <c r="A31">
        <v>30</v>
      </c>
      <c r="B31" s="2">
        <v>46020</v>
      </c>
      <c r="C31">
        <v>112</v>
      </c>
      <c r="D31" t="s">
        <v>63</v>
      </c>
      <c r="E31" t="str">
        <f>_xlfn.XLOOKUP(D:D,Products!B:B,Products!E:E)</f>
        <v>Laptop</v>
      </c>
      <c r="F31">
        <v>6</v>
      </c>
      <c r="G31">
        <f t="shared" si="1"/>
        <v>22500</v>
      </c>
      <c r="H31" s="3">
        <v>0.1</v>
      </c>
      <c r="I31" t="s">
        <v>71</v>
      </c>
      <c r="J31" t="str">
        <f t="shared" si="0"/>
        <v>Normal</v>
      </c>
      <c r="K31">
        <f>_xlfn.SINGLE(_xlfn.XLOOKUP(D31,Products!B:B,Products!C:C,"Not Found"))</f>
        <v>25000</v>
      </c>
      <c r="L31" s="4">
        <f t="shared" si="2"/>
        <v>135000</v>
      </c>
      <c r="M31">
        <f t="shared" si="3"/>
        <v>9000</v>
      </c>
      <c r="N31">
        <f>_xlfn.XLOOKUP(D:D,Products!B:B,Products!D:D)</f>
        <v>21000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F52F-EE2B-4F10-A521-502493EF53AE}">
  <dimension ref="A1:V31"/>
  <sheetViews>
    <sheetView topLeftCell="A7" workbookViewId="0">
      <selection activeCell="G12" sqref="G12"/>
    </sheetView>
  </sheetViews>
  <sheetFormatPr defaultRowHeight="14.4" x14ac:dyDescent="0.3"/>
  <cols>
    <col min="1" max="1" width="9" customWidth="1"/>
    <col min="2" max="2" width="18.77734375" style="11" bestFit="1" customWidth="1"/>
    <col min="3" max="5" width="12" customWidth="1"/>
    <col min="6" max="6" width="17" bestFit="1" customWidth="1"/>
    <col min="7" max="8" width="17" customWidth="1"/>
    <col min="9" max="9" width="16" customWidth="1"/>
    <col min="10" max="10" width="13" customWidth="1"/>
    <col min="11" max="11" width="6.5546875" customWidth="1"/>
    <col min="12" max="12" width="12.77734375" customWidth="1"/>
    <col min="13" max="13" width="13" customWidth="1"/>
    <col min="14" max="14" width="11.6640625" customWidth="1"/>
    <col min="15" max="15" width="9" bestFit="1" customWidth="1"/>
    <col min="16" max="16" width="12.77734375" bestFit="1" customWidth="1"/>
    <col min="17" max="17" width="12.77734375" customWidth="1"/>
    <col min="18" max="18" width="20.109375" bestFit="1" customWidth="1"/>
    <col min="20" max="20" width="11.6640625" bestFit="1" customWidth="1"/>
    <col min="22" max="22" width="9.77734375" bestFit="1" customWidth="1"/>
  </cols>
  <sheetData>
    <row r="1" spans="1:22" x14ac:dyDescent="0.3">
      <c r="A1" s="1" t="s">
        <v>32</v>
      </c>
      <c r="B1" s="1" t="s">
        <v>33</v>
      </c>
      <c r="C1" s="1" t="s">
        <v>80</v>
      </c>
      <c r="D1" s="1" t="s">
        <v>81</v>
      </c>
      <c r="E1" s="1" t="s">
        <v>0</v>
      </c>
      <c r="F1" s="1" t="s">
        <v>1</v>
      </c>
      <c r="G1" s="1" t="s">
        <v>2</v>
      </c>
      <c r="H1" s="1" t="s">
        <v>3</v>
      </c>
      <c r="I1" s="1" t="s">
        <v>23</v>
      </c>
      <c r="J1" s="1" t="s">
        <v>26</v>
      </c>
      <c r="K1" s="1" t="s">
        <v>67</v>
      </c>
      <c r="L1" s="1" t="s">
        <v>34</v>
      </c>
      <c r="M1" s="1" t="s">
        <v>35</v>
      </c>
      <c r="N1" s="1" t="s">
        <v>36</v>
      </c>
      <c r="O1" s="1" t="s">
        <v>37</v>
      </c>
      <c r="P1" s="1" t="s">
        <v>24</v>
      </c>
      <c r="Q1" s="1" t="s">
        <v>25</v>
      </c>
      <c r="R1" s="1" t="s">
        <v>38</v>
      </c>
      <c r="S1" s="1" t="s">
        <v>79</v>
      </c>
      <c r="T1" s="1" t="s">
        <v>82</v>
      </c>
      <c r="U1" s="9"/>
      <c r="V1" s="9"/>
    </row>
    <row r="2" spans="1:22" x14ac:dyDescent="0.3">
      <c r="A2">
        <v>1</v>
      </c>
      <c r="B2" s="10">
        <v>45358</v>
      </c>
      <c r="C2">
        <f>YEAR(B2)</f>
        <v>2024</v>
      </c>
      <c r="D2">
        <f>MONTH(B2)</f>
        <v>3</v>
      </c>
      <c r="E2">
        <v>101</v>
      </c>
      <c r="F2" t="str">
        <f>_xlfn.XLOOKUP(E:E,Customers!A:A,Customers!B:B)</f>
        <v>Minh Anh Co</v>
      </c>
      <c r="G2" t="str">
        <f>_xlfn.XLOOKUP(E:E,Customers!A:A,Customers!C:C)</f>
        <v>SME</v>
      </c>
      <c r="H2" t="str">
        <f>_xlfn.XLOOKUP(E:E,Customers!A:A,Customers!D:D)</f>
        <v>Hanoi</v>
      </c>
      <c r="I2" t="s">
        <v>27</v>
      </c>
      <c r="J2" t="s">
        <v>28</v>
      </c>
      <c r="K2">
        <v>1</v>
      </c>
      <c r="L2">
        <f t="shared" ref="L2:L31" si="0">P2*(1-M2)</f>
        <v>32000</v>
      </c>
      <c r="M2" s="3">
        <v>0</v>
      </c>
      <c r="N2" t="s">
        <v>39</v>
      </c>
      <c r="O2" t="str">
        <f t="shared" ref="O2:O31" si="1">IF(K2&gt;=10,"Bulk","Normal")</f>
        <v>Normal</v>
      </c>
      <c r="P2">
        <f>_xlfn.SINGLE(_xlfn.XLOOKUP(I2,Products!B:B,Products!C:C,"Not Found"))</f>
        <v>32000</v>
      </c>
      <c r="Q2">
        <f>_xlfn.XLOOKUP(I:I,Products!B:B,Products!D:D)</f>
        <v>25000</v>
      </c>
      <c r="R2" s="4">
        <f t="shared" ref="R2:R31" si="2">K2*L2</f>
        <v>32000</v>
      </c>
      <c r="S2">
        <f>R2-(K2*Q2)</f>
        <v>7000</v>
      </c>
      <c r="T2">
        <f>S2/R2</f>
        <v>0.21875</v>
      </c>
    </row>
    <row r="3" spans="1:22" x14ac:dyDescent="0.3">
      <c r="A3">
        <v>2</v>
      </c>
      <c r="B3" s="10">
        <v>45389</v>
      </c>
      <c r="C3">
        <f t="shared" ref="C3:C31" si="3">YEAR(B3)</f>
        <v>2024</v>
      </c>
      <c r="D3">
        <f t="shared" ref="D3:D31" si="4">MONTH(B3)</f>
        <v>4</v>
      </c>
      <c r="E3">
        <v>102</v>
      </c>
      <c r="F3" t="str">
        <f>_xlfn.XLOOKUP(E:E,Customers!A:A,Customers!B:B)</f>
        <v>Le Chi Store</v>
      </c>
      <c r="G3" t="str">
        <f>_xlfn.XLOOKUP(E:E,Customers!A:A,Customers!C:C)</f>
        <v>Retail</v>
      </c>
      <c r="H3" t="str">
        <f>_xlfn.XLOOKUP(E:E,Customers!A:A,Customers!D:D)</f>
        <v>Da Nang</v>
      </c>
      <c r="I3" t="s">
        <v>57</v>
      </c>
      <c r="J3" t="s">
        <v>28</v>
      </c>
      <c r="K3">
        <v>12</v>
      </c>
      <c r="L3">
        <f t="shared" si="0"/>
        <v>15300</v>
      </c>
      <c r="M3" s="3">
        <v>0.1</v>
      </c>
      <c r="N3" t="s">
        <v>40</v>
      </c>
      <c r="O3" t="str">
        <f t="shared" si="1"/>
        <v>Bulk</v>
      </c>
      <c r="P3">
        <f>_xlfn.SINGLE(_xlfn.XLOOKUP(I3,Products!B:B,Products!C:C,"Not Found"))</f>
        <v>17000</v>
      </c>
      <c r="Q3">
        <f>_xlfn.XLOOKUP(I:I,Products!B:B,Products!D:D)</f>
        <v>14000</v>
      </c>
      <c r="R3" s="4">
        <f t="shared" si="2"/>
        <v>183600</v>
      </c>
      <c r="S3">
        <f t="shared" ref="S3:S31" si="5">R3-(K3*Q3)</f>
        <v>15600</v>
      </c>
      <c r="T3">
        <f t="shared" ref="T3:T31" si="6">S3/R3</f>
        <v>8.4967320261437912E-2</v>
      </c>
    </row>
    <row r="4" spans="1:22" x14ac:dyDescent="0.3">
      <c r="A4">
        <v>3</v>
      </c>
      <c r="B4" s="10">
        <v>45419</v>
      </c>
      <c r="C4">
        <f t="shared" si="3"/>
        <v>2024</v>
      </c>
      <c r="D4">
        <f t="shared" si="4"/>
        <v>5</v>
      </c>
      <c r="E4">
        <v>111</v>
      </c>
      <c r="F4" t="str">
        <f>_xlfn.XLOOKUP(E:E,Customers!A:A,Customers!B:B)</f>
        <v>Nguyen</v>
      </c>
      <c r="G4" t="str">
        <f>_xlfn.XLOOKUP(E:E,Customers!A:A,Customers!C:C)</f>
        <v>Retail</v>
      </c>
      <c r="H4" t="str">
        <f>_xlfn.XLOOKUP(E:E,Customers!A:A,Customers!D:D)</f>
        <v>HCMC</v>
      </c>
      <c r="I4" t="s">
        <v>59</v>
      </c>
      <c r="J4" t="s">
        <v>31</v>
      </c>
      <c r="K4">
        <v>5</v>
      </c>
      <c r="L4">
        <f t="shared" si="0"/>
        <v>8550</v>
      </c>
      <c r="M4" s="3">
        <v>0.05</v>
      </c>
      <c r="N4" t="s">
        <v>41</v>
      </c>
      <c r="O4" t="str">
        <f t="shared" si="1"/>
        <v>Normal</v>
      </c>
      <c r="P4">
        <f>_xlfn.SINGLE(_xlfn.XLOOKUP(I4,Products!B:B,Products!C:C,"Not Found"))</f>
        <v>9000</v>
      </c>
      <c r="Q4">
        <f>_xlfn.XLOOKUP(I:I,Products!B:B,Products!D:D)</f>
        <v>9000</v>
      </c>
      <c r="R4" s="4">
        <f t="shared" si="2"/>
        <v>42750</v>
      </c>
      <c r="S4">
        <f t="shared" si="5"/>
        <v>-2250</v>
      </c>
      <c r="T4">
        <f t="shared" si="6"/>
        <v>-5.2631578947368418E-2</v>
      </c>
    </row>
    <row r="5" spans="1:22" x14ac:dyDescent="0.3">
      <c r="A5">
        <v>4</v>
      </c>
      <c r="B5" s="10">
        <v>45815</v>
      </c>
      <c r="C5">
        <f t="shared" si="3"/>
        <v>2025</v>
      </c>
      <c r="D5">
        <f t="shared" si="4"/>
        <v>6</v>
      </c>
      <c r="E5">
        <v>106</v>
      </c>
      <c r="F5" t="str">
        <f>_xlfn.XLOOKUP(E:E,Customers!A:A,Customers!B:B)</f>
        <v>Hoang Tech</v>
      </c>
      <c r="G5" t="str">
        <f>_xlfn.XLOOKUP(E:E,Customers!A:A,Customers!C:C)</f>
        <v>SME</v>
      </c>
      <c r="H5" t="str">
        <f>_xlfn.XLOOKUP(E:E,Customers!A:A,Customers!D:D)</f>
        <v>Hai Phong</v>
      </c>
      <c r="I5" t="s">
        <v>30</v>
      </c>
      <c r="J5" t="str">
        <f>_xlfn.XLOOKUP(I:I,Products!B:B,Products!E:E)</f>
        <v>Electronics</v>
      </c>
      <c r="K5">
        <v>3</v>
      </c>
      <c r="L5">
        <f t="shared" si="0"/>
        <v>5104</v>
      </c>
      <c r="M5" s="3">
        <v>0.12</v>
      </c>
      <c r="N5" t="s">
        <v>70</v>
      </c>
      <c r="O5" t="str">
        <f t="shared" si="1"/>
        <v>Normal</v>
      </c>
      <c r="P5">
        <f>_xlfn.SINGLE(_xlfn.XLOOKUP(I5,Products!B:B,Products!C:C,"Not Found"))</f>
        <v>5800</v>
      </c>
      <c r="Q5">
        <f>_xlfn.XLOOKUP(I:I,Products!B:B,Products!D:D)</f>
        <v>5000</v>
      </c>
      <c r="R5" s="4">
        <f t="shared" si="2"/>
        <v>15312</v>
      </c>
      <c r="S5">
        <f t="shared" si="5"/>
        <v>312</v>
      </c>
      <c r="T5">
        <f t="shared" si="6"/>
        <v>2.037617554858934E-2</v>
      </c>
    </row>
    <row r="6" spans="1:22" x14ac:dyDescent="0.3">
      <c r="A6">
        <v>5</v>
      </c>
      <c r="B6" s="10">
        <v>45845</v>
      </c>
      <c r="C6">
        <f t="shared" si="3"/>
        <v>2025</v>
      </c>
      <c r="D6">
        <f t="shared" si="4"/>
        <v>7</v>
      </c>
      <c r="E6">
        <v>105</v>
      </c>
      <c r="F6" t="str">
        <f>_xlfn.XLOOKUP(E:E,Customers!A:A,Customers!B:B)</f>
        <v>Lan Office</v>
      </c>
      <c r="G6" t="str">
        <f>_xlfn.XLOOKUP(E:E,Customers!A:A,Customers!C:C)</f>
        <v>SME</v>
      </c>
      <c r="H6" t="str">
        <f>_xlfn.XLOOKUP(E:E,Customers!A:A,Customers!D:D)</f>
        <v>HCMC</v>
      </c>
      <c r="I6" t="s">
        <v>29</v>
      </c>
      <c r="J6" t="str">
        <f>_xlfn.XLOOKUP(I:I,Products!B:B,Products!E:E)</f>
        <v>Electronics</v>
      </c>
      <c r="K6">
        <v>1</v>
      </c>
      <c r="L6">
        <f t="shared" si="0"/>
        <v>1500</v>
      </c>
      <c r="M6" s="3">
        <v>0</v>
      </c>
      <c r="N6" t="s">
        <v>42</v>
      </c>
      <c r="O6" t="str">
        <f t="shared" si="1"/>
        <v>Normal</v>
      </c>
      <c r="P6">
        <f>_xlfn.SINGLE(_xlfn.XLOOKUP(I6,Products!B:B,Products!C:C,"Not Found"))</f>
        <v>1500</v>
      </c>
      <c r="Q6">
        <f>_xlfn.XLOOKUP(I:I,Products!B:B,Products!D:D)</f>
        <v>1000</v>
      </c>
      <c r="R6" s="4">
        <f t="shared" si="2"/>
        <v>1500</v>
      </c>
      <c r="S6">
        <f t="shared" si="5"/>
        <v>500</v>
      </c>
      <c r="T6">
        <f t="shared" si="6"/>
        <v>0.33333333333333331</v>
      </c>
    </row>
    <row r="7" spans="1:22" x14ac:dyDescent="0.3">
      <c r="A7">
        <v>6</v>
      </c>
      <c r="B7" s="10">
        <v>45876</v>
      </c>
      <c r="C7">
        <f t="shared" si="3"/>
        <v>2025</v>
      </c>
      <c r="D7">
        <f t="shared" si="4"/>
        <v>8</v>
      </c>
      <c r="E7">
        <v>111</v>
      </c>
      <c r="F7" t="str">
        <f>_xlfn.XLOOKUP(E:E,Customers!A:A,Customers!B:B)</f>
        <v>Nguyen</v>
      </c>
      <c r="G7" t="str">
        <f>_xlfn.XLOOKUP(E:E,Customers!A:A,Customers!C:C)</f>
        <v>Retail</v>
      </c>
      <c r="H7" t="str">
        <f>_xlfn.XLOOKUP(E:E,Customers!A:A,Customers!D:D)</f>
        <v>HCMC</v>
      </c>
      <c r="I7" t="s">
        <v>66</v>
      </c>
      <c r="J7" t="str">
        <f>_xlfn.XLOOKUP(I:I,Products!B:B,Products!E:E)</f>
        <v>Phone</v>
      </c>
      <c r="K7">
        <v>2</v>
      </c>
      <c r="L7">
        <f t="shared" si="0"/>
        <v>15300</v>
      </c>
      <c r="M7" s="3">
        <v>0.15</v>
      </c>
      <c r="N7" t="s">
        <v>70</v>
      </c>
      <c r="O7" t="str">
        <f t="shared" si="1"/>
        <v>Normal</v>
      </c>
      <c r="P7">
        <f>_xlfn.SINGLE(_xlfn.XLOOKUP(I7,Products!B:B,Products!C:C,"Not Found"))</f>
        <v>18000</v>
      </c>
      <c r="Q7">
        <f>_xlfn.XLOOKUP(I:I,Products!B:B,Products!D:D)</f>
        <v>15000</v>
      </c>
      <c r="R7" s="4">
        <f t="shared" si="2"/>
        <v>30600</v>
      </c>
      <c r="S7">
        <f t="shared" si="5"/>
        <v>600</v>
      </c>
      <c r="T7">
        <f t="shared" si="6"/>
        <v>1.9607843137254902E-2</v>
      </c>
    </row>
    <row r="8" spans="1:22" x14ac:dyDescent="0.3">
      <c r="A8">
        <v>7</v>
      </c>
      <c r="B8" s="10">
        <v>45907</v>
      </c>
      <c r="C8">
        <f t="shared" si="3"/>
        <v>2025</v>
      </c>
      <c r="D8">
        <f t="shared" si="4"/>
        <v>9</v>
      </c>
      <c r="E8">
        <v>107</v>
      </c>
      <c r="F8" t="str">
        <f>_xlfn.XLOOKUP(E:E,Customers!A:A,Customers!B:B)</f>
        <v>An Solutions</v>
      </c>
      <c r="G8" t="str">
        <f>_xlfn.XLOOKUP(E:E,Customers!A:A,Customers!C:C)</f>
        <v>SME</v>
      </c>
      <c r="H8" t="str">
        <f>_xlfn.XLOOKUP(E:E,Customers!A:A,Customers!D:D)</f>
        <v>Da Nang</v>
      </c>
      <c r="I8" t="s">
        <v>65</v>
      </c>
      <c r="J8" t="str">
        <f>_xlfn.XLOOKUP(I:I,Products!B:B,Products!E:E)</f>
        <v>Laptop</v>
      </c>
      <c r="K8">
        <v>9</v>
      </c>
      <c r="L8">
        <f t="shared" si="0"/>
        <v>33950</v>
      </c>
      <c r="M8" s="3">
        <v>0.03</v>
      </c>
      <c r="N8" t="s">
        <v>43</v>
      </c>
      <c r="O8" t="str">
        <f t="shared" si="1"/>
        <v>Normal</v>
      </c>
      <c r="P8">
        <f>_xlfn.SINGLE(_xlfn.XLOOKUP(I8,Products!B:B,Products!C:C,"Not Found"))</f>
        <v>35000</v>
      </c>
      <c r="Q8">
        <f>_xlfn.XLOOKUP(I:I,Products!B:B,Products!D:D)</f>
        <v>30000</v>
      </c>
      <c r="R8" s="4">
        <f t="shared" si="2"/>
        <v>305550</v>
      </c>
      <c r="S8">
        <f t="shared" si="5"/>
        <v>35550</v>
      </c>
      <c r="T8">
        <f t="shared" si="6"/>
        <v>0.11634756995581738</v>
      </c>
    </row>
    <row r="9" spans="1:22" x14ac:dyDescent="0.3">
      <c r="A9">
        <v>8</v>
      </c>
      <c r="B9" s="10">
        <v>45937</v>
      </c>
      <c r="C9">
        <f t="shared" si="3"/>
        <v>2025</v>
      </c>
      <c r="D9">
        <f t="shared" si="4"/>
        <v>10</v>
      </c>
      <c r="E9">
        <v>113</v>
      </c>
      <c r="F9" t="str">
        <f>_xlfn.XLOOKUP(E:E,Customers!A:A,Customers!B:B)</f>
        <v>Khoa Pham Co</v>
      </c>
      <c r="G9" t="str">
        <f>_xlfn.XLOOKUP(E:E,Customers!A:A,Customers!C:C)</f>
        <v>Enterprise</v>
      </c>
      <c r="H9" t="str">
        <f>_xlfn.XLOOKUP(E:E,Customers!A:A,Customers!D:D)</f>
        <v>Nghe An</v>
      </c>
      <c r="I9" t="s">
        <v>54</v>
      </c>
      <c r="J9" t="str">
        <f>_xlfn.XLOOKUP(I:I,Products!B:B,Products!E:E)</f>
        <v>Furniture</v>
      </c>
      <c r="K9">
        <v>10</v>
      </c>
      <c r="L9">
        <f t="shared" si="0"/>
        <v>1455</v>
      </c>
      <c r="M9" s="3">
        <v>0</v>
      </c>
      <c r="N9" t="s">
        <v>47</v>
      </c>
      <c r="O9" t="str">
        <f t="shared" si="1"/>
        <v>Bulk</v>
      </c>
      <c r="P9">
        <f>_xlfn.SINGLE(_xlfn.XLOOKUP(I9,Products!B:B,Products!C:C,"Not Found"))</f>
        <v>1455</v>
      </c>
      <c r="Q9">
        <f>_xlfn.XLOOKUP(I:I,Products!B:B,Products!D:D)</f>
        <v>1200</v>
      </c>
      <c r="R9" s="4">
        <f t="shared" si="2"/>
        <v>14550</v>
      </c>
      <c r="S9">
        <f t="shared" si="5"/>
        <v>2550</v>
      </c>
      <c r="T9">
        <f t="shared" si="6"/>
        <v>0.17525773195876287</v>
      </c>
    </row>
    <row r="10" spans="1:22" x14ac:dyDescent="0.3">
      <c r="A10">
        <v>9</v>
      </c>
      <c r="B10" s="10">
        <v>45968</v>
      </c>
      <c r="C10">
        <f t="shared" si="3"/>
        <v>2025</v>
      </c>
      <c r="D10">
        <f t="shared" si="4"/>
        <v>11</v>
      </c>
      <c r="E10">
        <v>109</v>
      </c>
      <c r="F10" t="str">
        <f>_xlfn.XLOOKUP(E:E,Customers!A:A,Customers!B:B)</f>
        <v>Tu Anh Logistics</v>
      </c>
      <c r="G10" t="str">
        <f>_xlfn.XLOOKUP(E:E,Customers!A:A,Customers!C:C)</f>
        <v>Enterprise</v>
      </c>
      <c r="H10" t="str">
        <f>_xlfn.XLOOKUP(E:E,Customers!A:A,Customers!D:D)</f>
        <v>Da Nang</v>
      </c>
      <c r="I10" t="s">
        <v>62</v>
      </c>
      <c r="J10" t="str">
        <f>_xlfn.XLOOKUP(I:I,Products!B:B,Products!E:E)</f>
        <v>Tablet</v>
      </c>
      <c r="K10">
        <v>1</v>
      </c>
      <c r="L10">
        <f t="shared" si="0"/>
        <v>11200</v>
      </c>
      <c r="M10" s="3">
        <v>0.2</v>
      </c>
      <c r="N10" t="s">
        <v>71</v>
      </c>
      <c r="O10" t="str">
        <f t="shared" si="1"/>
        <v>Normal</v>
      </c>
      <c r="P10">
        <f>_xlfn.SINGLE(_xlfn.XLOOKUP(I10,Products!B:B,Products!C:C,"Not Found"))</f>
        <v>14000</v>
      </c>
      <c r="Q10">
        <f>_xlfn.XLOOKUP(I:I,Products!B:B,Products!D:D)</f>
        <v>11000</v>
      </c>
      <c r="R10" s="4">
        <f t="shared" si="2"/>
        <v>11200</v>
      </c>
      <c r="S10">
        <f t="shared" si="5"/>
        <v>200</v>
      </c>
      <c r="T10">
        <f t="shared" si="6"/>
        <v>1.7857142857142856E-2</v>
      </c>
    </row>
    <row r="11" spans="1:22" x14ac:dyDescent="0.3">
      <c r="A11">
        <v>10</v>
      </c>
      <c r="B11" s="10">
        <v>45998</v>
      </c>
      <c r="C11">
        <f t="shared" si="3"/>
        <v>2025</v>
      </c>
      <c r="D11">
        <f t="shared" si="4"/>
        <v>12</v>
      </c>
      <c r="E11">
        <v>110</v>
      </c>
      <c r="F11" t="str">
        <f>_xlfn.XLOOKUP(E:E,Customers!A:A,Customers!B:B)</f>
        <v>Huy</v>
      </c>
      <c r="G11" t="str">
        <f>_xlfn.XLOOKUP(E:E,Customers!A:A,Customers!C:C)</f>
        <v>Retail</v>
      </c>
      <c r="H11" t="str">
        <f>_xlfn.XLOOKUP(E:E,Customers!A:A,Customers!D:D)</f>
        <v>Thanh Hoa</v>
      </c>
      <c r="I11" t="s">
        <v>27</v>
      </c>
      <c r="J11" t="str">
        <f>_xlfn.XLOOKUP(I:I,Products!B:B,Products!E:E)</f>
        <v>Laptop</v>
      </c>
      <c r="K11">
        <v>4</v>
      </c>
      <c r="L11">
        <f t="shared" si="0"/>
        <v>29759.999999999996</v>
      </c>
      <c r="M11" s="3">
        <v>7.0000000000000007E-2</v>
      </c>
      <c r="N11" t="s">
        <v>47</v>
      </c>
      <c r="O11" t="str">
        <f t="shared" si="1"/>
        <v>Normal</v>
      </c>
      <c r="P11">
        <f>_xlfn.SINGLE(_xlfn.XLOOKUP(I11,Products!B:B,Products!C:C,"Not Found"))</f>
        <v>32000</v>
      </c>
      <c r="Q11">
        <f>_xlfn.XLOOKUP(I:I,Products!B:B,Products!D:D)</f>
        <v>25000</v>
      </c>
      <c r="R11" s="4">
        <f t="shared" si="2"/>
        <v>119039.99999999999</v>
      </c>
      <c r="S11">
        <f t="shared" si="5"/>
        <v>19039.999999999985</v>
      </c>
      <c r="T11">
        <f t="shared" si="6"/>
        <v>0.15994623655913967</v>
      </c>
    </row>
    <row r="12" spans="1:22" x14ac:dyDescent="0.3">
      <c r="A12">
        <v>11</v>
      </c>
      <c r="B12" s="10">
        <v>45851</v>
      </c>
      <c r="C12">
        <f t="shared" si="3"/>
        <v>2025</v>
      </c>
      <c r="D12">
        <f t="shared" si="4"/>
        <v>7</v>
      </c>
      <c r="E12">
        <v>101</v>
      </c>
      <c r="F12" t="str">
        <f>_xlfn.XLOOKUP(E:E,Customers!A:A,Customers!B:B)</f>
        <v>Minh Anh Co</v>
      </c>
      <c r="G12" t="str">
        <f>_xlfn.XLOOKUP(E:E,Customers!A:A,Customers!C:C)</f>
        <v>SME</v>
      </c>
      <c r="H12" t="str">
        <f>_xlfn.XLOOKUP(E:E,Customers!A:A,Customers!D:D)</f>
        <v>Hanoi</v>
      </c>
      <c r="I12" t="s">
        <v>30</v>
      </c>
      <c r="J12" t="str">
        <f>_xlfn.XLOOKUP(I:I,Products!B:B,Products!E:E)</f>
        <v>Electronics</v>
      </c>
      <c r="K12">
        <v>11</v>
      </c>
      <c r="L12">
        <f t="shared" si="0"/>
        <v>5220</v>
      </c>
      <c r="M12" s="3">
        <v>0.1</v>
      </c>
      <c r="N12" t="s">
        <v>69</v>
      </c>
      <c r="O12" t="str">
        <f t="shared" si="1"/>
        <v>Bulk</v>
      </c>
      <c r="P12">
        <f>_xlfn.SINGLE(_xlfn.XLOOKUP(I12,Products!B:B,Products!C:C,"Not Found"))</f>
        <v>5800</v>
      </c>
      <c r="Q12">
        <f>_xlfn.XLOOKUP(I:I,Products!B:B,Products!D:D)</f>
        <v>5000</v>
      </c>
      <c r="R12" s="4">
        <f t="shared" si="2"/>
        <v>57420</v>
      </c>
      <c r="S12">
        <f t="shared" si="5"/>
        <v>2420</v>
      </c>
      <c r="T12">
        <f t="shared" si="6"/>
        <v>4.2145593869731802E-2</v>
      </c>
    </row>
    <row r="13" spans="1:22" x14ac:dyDescent="0.3">
      <c r="A13">
        <v>12</v>
      </c>
      <c r="B13" s="10">
        <v>45852</v>
      </c>
      <c r="C13">
        <f t="shared" si="3"/>
        <v>2025</v>
      </c>
      <c r="D13">
        <f t="shared" si="4"/>
        <v>7</v>
      </c>
      <c r="E13">
        <v>114</v>
      </c>
      <c r="F13" t="str">
        <f>_xlfn.XLOOKUP(E:E,Customers!A:A,Customers!B:B)</f>
        <v>Vy</v>
      </c>
      <c r="G13" t="str">
        <f>_xlfn.XLOOKUP(E:E,Customers!A:A,Customers!C:C)</f>
        <v>Retail</v>
      </c>
      <c r="H13" t="str">
        <f>_xlfn.XLOOKUP(E:E,Customers!A:A,Customers!D:D)</f>
        <v>Hanoi</v>
      </c>
      <c r="I13" t="s">
        <v>66</v>
      </c>
      <c r="J13" t="str">
        <f>_xlfn.XLOOKUP(I:I,Products!B:B,Products!E:E)</f>
        <v>Phone</v>
      </c>
      <c r="K13">
        <v>6</v>
      </c>
      <c r="L13">
        <f t="shared" si="0"/>
        <v>17280</v>
      </c>
      <c r="M13" s="3">
        <v>0.04</v>
      </c>
      <c r="N13" t="s">
        <v>43</v>
      </c>
      <c r="O13" t="str">
        <f t="shared" si="1"/>
        <v>Normal</v>
      </c>
      <c r="P13">
        <f>_xlfn.SINGLE(_xlfn.XLOOKUP(I13,Products!B:B,Products!C:C,"Not Found"))</f>
        <v>18000</v>
      </c>
      <c r="Q13">
        <f>_xlfn.XLOOKUP(I:I,Products!B:B,Products!D:D)</f>
        <v>15000</v>
      </c>
      <c r="R13" s="4">
        <f t="shared" si="2"/>
        <v>103680</v>
      </c>
      <c r="S13">
        <f t="shared" si="5"/>
        <v>13680</v>
      </c>
      <c r="T13">
        <f t="shared" si="6"/>
        <v>0.13194444444444445</v>
      </c>
    </row>
    <row r="14" spans="1:22" x14ac:dyDescent="0.3">
      <c r="A14">
        <v>13</v>
      </c>
      <c r="B14" s="10">
        <v>45853</v>
      </c>
      <c r="C14">
        <f t="shared" si="3"/>
        <v>2025</v>
      </c>
      <c r="D14">
        <f t="shared" si="4"/>
        <v>7</v>
      </c>
      <c r="E14">
        <v>112</v>
      </c>
      <c r="F14" t="str">
        <f>_xlfn.XLOOKUP(E:E,Customers!A:A,Customers!B:B)</f>
        <v>Trang Nguyen Store</v>
      </c>
      <c r="G14" t="str">
        <f>_xlfn.XLOOKUP(E:E,Customers!A:A,Customers!C:C)</f>
        <v>Retail</v>
      </c>
      <c r="H14" t="str">
        <f>_xlfn.XLOOKUP(E:E,Customers!A:A,Customers!D:D)</f>
        <v>Long An</v>
      </c>
      <c r="I14" t="s">
        <v>64</v>
      </c>
      <c r="J14" t="str">
        <f>_xlfn.XLOOKUP(I:I,Products!B:B,Products!E:E)</f>
        <v>Laptop</v>
      </c>
      <c r="K14">
        <v>20</v>
      </c>
      <c r="L14">
        <f t="shared" si="0"/>
        <v>24640</v>
      </c>
      <c r="M14" s="3">
        <v>0.12</v>
      </c>
      <c r="N14" t="s">
        <v>40</v>
      </c>
      <c r="O14" t="str">
        <f t="shared" si="1"/>
        <v>Bulk</v>
      </c>
      <c r="P14">
        <f>_xlfn.SINGLE(_xlfn.XLOOKUP(I14,Products!B:B,Products!C:C,"Not Found"))</f>
        <v>28000</v>
      </c>
      <c r="Q14">
        <f>_xlfn.XLOOKUP(I:I,Products!B:B,Products!D:D)</f>
        <v>24000</v>
      </c>
      <c r="R14" s="4">
        <f t="shared" si="2"/>
        <v>492800</v>
      </c>
      <c r="S14">
        <f t="shared" si="5"/>
        <v>12800</v>
      </c>
      <c r="T14">
        <f t="shared" si="6"/>
        <v>2.5974025974025976E-2</v>
      </c>
    </row>
    <row r="15" spans="1:22" x14ac:dyDescent="0.3">
      <c r="A15">
        <v>14</v>
      </c>
      <c r="B15" s="10">
        <v>45854</v>
      </c>
      <c r="C15">
        <f t="shared" si="3"/>
        <v>2025</v>
      </c>
      <c r="D15">
        <f t="shared" si="4"/>
        <v>7</v>
      </c>
      <c r="E15">
        <v>103</v>
      </c>
      <c r="F15" t="str">
        <f>_xlfn.XLOOKUP(E:E,Customers!A:A,Customers!B:B)</f>
        <v>Pham Group</v>
      </c>
      <c r="G15" t="str">
        <f>_xlfn.XLOOKUP(E:E,Customers!A:A,Customers!C:C)</f>
        <v>Enterprise</v>
      </c>
      <c r="H15" t="str">
        <f>_xlfn.XLOOKUP(E:E,Customers!A:A,Customers!D:D)</f>
        <v>Hanoi</v>
      </c>
      <c r="I15" t="s">
        <v>61</v>
      </c>
      <c r="J15" t="str">
        <f>_xlfn.XLOOKUP(I:I,Products!B:B,Products!E:E)</f>
        <v>Tablet</v>
      </c>
      <c r="K15">
        <v>7</v>
      </c>
      <c r="L15">
        <f t="shared" si="0"/>
        <v>16000</v>
      </c>
      <c r="M15" s="3">
        <v>0</v>
      </c>
      <c r="N15" t="s">
        <v>39</v>
      </c>
      <c r="O15" t="str">
        <f t="shared" si="1"/>
        <v>Normal</v>
      </c>
      <c r="P15">
        <f>_xlfn.SINGLE(_xlfn.XLOOKUP(I15,Products!B:B,Products!C:C,"Not Found"))</f>
        <v>16000</v>
      </c>
      <c r="Q15">
        <f>_xlfn.XLOOKUP(I:I,Products!B:B,Products!D:D)</f>
        <v>13000</v>
      </c>
      <c r="R15" s="4">
        <f t="shared" si="2"/>
        <v>112000</v>
      </c>
      <c r="S15">
        <f t="shared" si="5"/>
        <v>21000</v>
      </c>
      <c r="T15">
        <f t="shared" si="6"/>
        <v>0.1875</v>
      </c>
    </row>
    <row r="16" spans="1:22" x14ac:dyDescent="0.3">
      <c r="A16">
        <v>15</v>
      </c>
      <c r="B16" s="10">
        <v>45855</v>
      </c>
      <c r="C16">
        <f t="shared" si="3"/>
        <v>2025</v>
      </c>
      <c r="D16">
        <f t="shared" si="4"/>
        <v>7</v>
      </c>
      <c r="E16">
        <v>109</v>
      </c>
      <c r="F16" t="str">
        <f>_xlfn.XLOOKUP(E:E,Customers!A:A,Customers!B:B)</f>
        <v>Tu Anh Logistics</v>
      </c>
      <c r="G16" t="str">
        <f>_xlfn.XLOOKUP(E:E,Customers!A:A,Customers!C:C)</f>
        <v>Enterprise</v>
      </c>
      <c r="H16" t="str">
        <f>_xlfn.XLOOKUP(E:E,Customers!A:A,Customers!D:D)</f>
        <v>Da Nang</v>
      </c>
      <c r="I16" t="s">
        <v>27</v>
      </c>
      <c r="J16" t="str">
        <f>_xlfn.XLOOKUP(I:I,Products!B:B,Products!E:E)</f>
        <v>Laptop</v>
      </c>
      <c r="K16">
        <v>1</v>
      </c>
      <c r="L16">
        <f t="shared" si="0"/>
        <v>30400</v>
      </c>
      <c r="M16" s="3">
        <v>0.05</v>
      </c>
      <c r="N16" t="s">
        <v>42</v>
      </c>
      <c r="O16" t="str">
        <f t="shared" si="1"/>
        <v>Normal</v>
      </c>
      <c r="P16">
        <f>_xlfn.SINGLE(_xlfn.XLOOKUP(I16,Products!B:B,Products!C:C,"Not Found"))</f>
        <v>32000</v>
      </c>
      <c r="Q16">
        <f>_xlfn.XLOOKUP(I:I,Products!B:B,Products!D:D)</f>
        <v>25000</v>
      </c>
      <c r="R16" s="4">
        <f t="shared" si="2"/>
        <v>30400</v>
      </c>
      <c r="S16">
        <f t="shared" si="5"/>
        <v>5400</v>
      </c>
      <c r="T16">
        <f t="shared" si="6"/>
        <v>0.17763157894736842</v>
      </c>
    </row>
    <row r="17" spans="1:20" x14ac:dyDescent="0.3">
      <c r="A17">
        <v>16</v>
      </c>
      <c r="B17" s="10">
        <v>45795</v>
      </c>
      <c r="C17">
        <f t="shared" si="3"/>
        <v>2025</v>
      </c>
      <c r="D17">
        <f t="shared" si="4"/>
        <v>5</v>
      </c>
      <c r="E17">
        <v>113</v>
      </c>
      <c r="F17" t="str">
        <f>_xlfn.XLOOKUP(E:E,Customers!A:A,Customers!B:B)</f>
        <v>Khoa Pham Co</v>
      </c>
      <c r="G17" t="str">
        <f>_xlfn.XLOOKUP(E:E,Customers!A:A,Customers!C:C)</f>
        <v>Enterprise</v>
      </c>
      <c r="H17" t="str">
        <f>_xlfn.XLOOKUP(E:E,Customers!A:A,Customers!D:D)</f>
        <v>Nghe An</v>
      </c>
      <c r="I17" t="s">
        <v>66</v>
      </c>
      <c r="J17" t="str">
        <f>_xlfn.XLOOKUP(I:I,Products!B:B,Products!E:E)</f>
        <v>Phone</v>
      </c>
      <c r="K17">
        <v>3</v>
      </c>
      <c r="L17">
        <f t="shared" si="0"/>
        <v>16560</v>
      </c>
      <c r="M17" s="3">
        <v>0.08</v>
      </c>
      <c r="N17" t="s">
        <v>47</v>
      </c>
      <c r="O17" t="str">
        <f t="shared" si="1"/>
        <v>Normal</v>
      </c>
      <c r="P17">
        <f>_xlfn.SINGLE(_xlfn.XLOOKUP(I17,Products!B:B,Products!C:C,"Not Found"))</f>
        <v>18000</v>
      </c>
      <c r="Q17">
        <f>_xlfn.XLOOKUP(I:I,Products!B:B,Products!D:D)</f>
        <v>15000</v>
      </c>
      <c r="R17" s="4">
        <f t="shared" si="2"/>
        <v>49680</v>
      </c>
      <c r="S17">
        <f t="shared" si="5"/>
        <v>4680</v>
      </c>
      <c r="T17">
        <f>S17/R17</f>
        <v>9.420289855072464E-2</v>
      </c>
    </row>
    <row r="18" spans="1:20" x14ac:dyDescent="0.3">
      <c r="A18">
        <v>17</v>
      </c>
      <c r="B18" s="10">
        <v>45796</v>
      </c>
      <c r="C18">
        <f t="shared" si="3"/>
        <v>2025</v>
      </c>
      <c r="D18">
        <f t="shared" si="4"/>
        <v>5</v>
      </c>
      <c r="E18">
        <v>107</v>
      </c>
      <c r="F18" t="str">
        <f>_xlfn.XLOOKUP(E:E,Customers!A:A,Customers!B:B)</f>
        <v>An Solutions</v>
      </c>
      <c r="G18" t="str">
        <f>_xlfn.XLOOKUP(E:E,Customers!A:A,Customers!C:C)</f>
        <v>SME</v>
      </c>
      <c r="H18" t="str">
        <f>_xlfn.XLOOKUP(E:E,Customers!A:A,Customers!D:D)</f>
        <v>Da Nang</v>
      </c>
      <c r="I18" t="s">
        <v>65</v>
      </c>
      <c r="J18" t="str">
        <f>_xlfn.XLOOKUP(I:I,Products!B:B,Products!E:E)</f>
        <v>Laptop</v>
      </c>
      <c r="K18">
        <v>15</v>
      </c>
      <c r="L18">
        <f t="shared" si="0"/>
        <v>31500</v>
      </c>
      <c r="M18" s="3">
        <v>0.1</v>
      </c>
      <c r="N18" t="s">
        <v>47</v>
      </c>
      <c r="O18" t="str">
        <f t="shared" si="1"/>
        <v>Bulk</v>
      </c>
      <c r="P18">
        <f>_xlfn.SINGLE(_xlfn.XLOOKUP(I18,Products!B:B,Products!C:C,"Not Found"))</f>
        <v>35000</v>
      </c>
      <c r="Q18">
        <f>_xlfn.XLOOKUP(I:I,Products!B:B,Products!D:D)</f>
        <v>30000</v>
      </c>
      <c r="R18" s="4">
        <f t="shared" si="2"/>
        <v>472500</v>
      </c>
      <c r="S18">
        <f t="shared" si="5"/>
        <v>22500</v>
      </c>
      <c r="T18">
        <f t="shared" si="6"/>
        <v>4.7619047619047616E-2</v>
      </c>
    </row>
    <row r="19" spans="1:20" x14ac:dyDescent="0.3">
      <c r="A19">
        <v>18</v>
      </c>
      <c r="B19" s="10">
        <v>45767</v>
      </c>
      <c r="C19">
        <f t="shared" si="3"/>
        <v>2025</v>
      </c>
      <c r="D19">
        <f t="shared" si="4"/>
        <v>4</v>
      </c>
      <c r="E19">
        <v>104</v>
      </c>
      <c r="F19" t="str">
        <f>_xlfn.XLOOKUP(E:E,Customers!A:A,Customers!B:B)</f>
        <v>Duy Retail</v>
      </c>
      <c r="G19" t="str">
        <f>_xlfn.XLOOKUP(E:E,Customers!A:A,Customers!C:C)</f>
        <v>Retail</v>
      </c>
      <c r="H19" t="str">
        <f>_xlfn.XLOOKUP(E:E,Customers!A:A,Customers!D:D)</f>
        <v>Can Tho</v>
      </c>
      <c r="I19" t="s">
        <v>54</v>
      </c>
      <c r="J19" t="str">
        <f>_xlfn.XLOOKUP(I:I,Products!B:B,Products!E:E)</f>
        <v>Furniture</v>
      </c>
      <c r="K19">
        <v>8</v>
      </c>
      <c r="L19">
        <f t="shared" si="0"/>
        <v>1367.6999999999998</v>
      </c>
      <c r="M19" s="3">
        <v>0.06</v>
      </c>
      <c r="N19" t="s">
        <v>41</v>
      </c>
      <c r="O19" t="str">
        <f t="shared" si="1"/>
        <v>Normal</v>
      </c>
      <c r="P19">
        <f>_xlfn.SINGLE(_xlfn.XLOOKUP(I19,Products!B:B,Products!C:C,"Not Found"))</f>
        <v>1455</v>
      </c>
      <c r="Q19">
        <f>_xlfn.XLOOKUP(I:I,Products!B:B,Products!D:D)</f>
        <v>1200</v>
      </c>
      <c r="R19" s="4">
        <f t="shared" si="2"/>
        <v>10941.599999999999</v>
      </c>
      <c r="S19">
        <f t="shared" si="5"/>
        <v>1341.5999999999985</v>
      </c>
      <c r="T19">
        <f t="shared" si="6"/>
        <v>0.12261460846676892</v>
      </c>
    </row>
    <row r="20" spans="1:20" x14ac:dyDescent="0.3">
      <c r="A20">
        <v>19</v>
      </c>
      <c r="B20" s="10">
        <v>45768</v>
      </c>
      <c r="C20">
        <f t="shared" si="3"/>
        <v>2025</v>
      </c>
      <c r="D20">
        <f t="shared" si="4"/>
        <v>4</v>
      </c>
      <c r="E20">
        <v>110</v>
      </c>
      <c r="F20" t="str">
        <f>_xlfn.XLOOKUP(E:E,Customers!A:A,Customers!B:B)</f>
        <v>Huy</v>
      </c>
      <c r="G20" t="str">
        <f>_xlfn.XLOOKUP(E:E,Customers!A:A,Customers!C:C)</f>
        <v>Retail</v>
      </c>
      <c r="H20" t="str">
        <f>_xlfn.XLOOKUP(E:E,Customers!A:A,Customers!D:D)</f>
        <v>Thanh Hoa</v>
      </c>
      <c r="I20" t="s">
        <v>30</v>
      </c>
      <c r="J20" t="str">
        <f>_xlfn.XLOOKUP(I:I,Products!B:B,Products!E:E)</f>
        <v>Electronics</v>
      </c>
      <c r="K20">
        <v>2</v>
      </c>
      <c r="L20">
        <f t="shared" si="0"/>
        <v>5104</v>
      </c>
      <c r="M20" s="3">
        <v>0.12</v>
      </c>
      <c r="N20" t="s">
        <v>47</v>
      </c>
      <c r="O20" t="str">
        <f t="shared" si="1"/>
        <v>Normal</v>
      </c>
      <c r="P20">
        <f>_xlfn.SINGLE(_xlfn.XLOOKUP(I20,Products!B:B,Products!C:C,"Not Found"))</f>
        <v>5800</v>
      </c>
      <c r="Q20">
        <f>_xlfn.XLOOKUP(I:I,Products!B:B,Products!D:D)</f>
        <v>5000</v>
      </c>
      <c r="R20" s="4">
        <f t="shared" si="2"/>
        <v>10208</v>
      </c>
      <c r="S20">
        <f>R20-(K20*Q20)</f>
        <v>208</v>
      </c>
      <c r="T20">
        <f t="shared" si="6"/>
        <v>2.037617554858934E-2</v>
      </c>
    </row>
    <row r="21" spans="1:20" x14ac:dyDescent="0.3">
      <c r="A21">
        <v>20</v>
      </c>
      <c r="B21" s="10">
        <v>45769</v>
      </c>
      <c r="C21">
        <f t="shared" si="3"/>
        <v>2025</v>
      </c>
      <c r="D21">
        <f t="shared" si="4"/>
        <v>4</v>
      </c>
      <c r="E21">
        <v>106</v>
      </c>
      <c r="F21" t="str">
        <f>_xlfn.XLOOKUP(E:E,Customers!A:A,Customers!B:B)</f>
        <v>Hoang Tech</v>
      </c>
      <c r="G21" t="str">
        <f>_xlfn.XLOOKUP(E:E,Customers!A:A,Customers!C:C)</f>
        <v>SME</v>
      </c>
      <c r="H21" t="str">
        <f>_xlfn.XLOOKUP(E:E,Customers!A:A,Customers!D:D)</f>
        <v>Hai Phong</v>
      </c>
      <c r="I21" t="s">
        <v>59</v>
      </c>
      <c r="J21" t="str">
        <f>_xlfn.XLOOKUP(I:I,Products!B:B,Products!E:E)</f>
        <v>Tablet</v>
      </c>
      <c r="K21">
        <v>5</v>
      </c>
      <c r="L21">
        <f t="shared" si="0"/>
        <v>9000</v>
      </c>
      <c r="M21" s="3">
        <v>0</v>
      </c>
      <c r="N21" t="s">
        <v>40</v>
      </c>
      <c r="O21" t="str">
        <f t="shared" si="1"/>
        <v>Normal</v>
      </c>
      <c r="P21">
        <f>_xlfn.SINGLE(_xlfn.XLOOKUP(I21,Products!B:B,Products!C:C,"Not Found"))</f>
        <v>9000</v>
      </c>
      <c r="Q21">
        <f>_xlfn.XLOOKUP(I:I,Products!B:B,Products!D:D)</f>
        <v>9000</v>
      </c>
      <c r="R21" s="4">
        <f t="shared" si="2"/>
        <v>45000</v>
      </c>
      <c r="S21">
        <f t="shared" si="5"/>
        <v>0</v>
      </c>
      <c r="T21">
        <f t="shared" si="6"/>
        <v>0</v>
      </c>
    </row>
    <row r="22" spans="1:20" x14ac:dyDescent="0.3">
      <c r="A22">
        <v>21</v>
      </c>
      <c r="B22" s="10">
        <v>46104</v>
      </c>
      <c r="C22">
        <f>YEAR(B22)</f>
        <v>2026</v>
      </c>
      <c r="D22">
        <f t="shared" si="4"/>
        <v>3</v>
      </c>
      <c r="E22">
        <v>101</v>
      </c>
      <c r="F22" t="str">
        <f>_xlfn.XLOOKUP(E:E,Customers!A:A,Customers!B:B)</f>
        <v>Minh Anh Co</v>
      </c>
      <c r="G22" t="str">
        <f>_xlfn.XLOOKUP(E:E,Customers!A:A,Customers!C:C)</f>
        <v>SME</v>
      </c>
      <c r="H22" t="str">
        <f>_xlfn.XLOOKUP(E:E,Customers!A:A,Customers!D:D)</f>
        <v>Hanoi</v>
      </c>
      <c r="I22" t="s">
        <v>64</v>
      </c>
      <c r="J22" t="str">
        <f>_xlfn.XLOOKUP(I:I,Products!B:B,Products!E:E)</f>
        <v>Laptop</v>
      </c>
      <c r="K22">
        <v>12</v>
      </c>
      <c r="L22">
        <f t="shared" si="0"/>
        <v>25480</v>
      </c>
      <c r="M22" s="3">
        <v>0.09</v>
      </c>
      <c r="N22" t="s">
        <v>39</v>
      </c>
      <c r="O22" t="str">
        <f t="shared" si="1"/>
        <v>Bulk</v>
      </c>
      <c r="P22">
        <f>_xlfn.SINGLE(_xlfn.XLOOKUP(I22,Products!B:B,Products!C:C,"Not Found"))</f>
        <v>28000</v>
      </c>
      <c r="Q22">
        <f>_xlfn.XLOOKUP(I:I,Products!B:B,Products!D:D)</f>
        <v>24000</v>
      </c>
      <c r="R22" s="4">
        <f t="shared" si="2"/>
        <v>305760</v>
      </c>
      <c r="S22">
        <f t="shared" si="5"/>
        <v>17760</v>
      </c>
      <c r="T22">
        <f t="shared" si="6"/>
        <v>5.8084772370486655E-2</v>
      </c>
    </row>
    <row r="23" spans="1:20" x14ac:dyDescent="0.3">
      <c r="A23">
        <v>22</v>
      </c>
      <c r="B23" s="10">
        <v>46105</v>
      </c>
      <c r="C23">
        <f t="shared" si="3"/>
        <v>2026</v>
      </c>
      <c r="D23">
        <f t="shared" si="4"/>
        <v>3</v>
      </c>
      <c r="E23">
        <v>111</v>
      </c>
      <c r="F23" t="str">
        <f>_xlfn.XLOOKUP(E:E,Customers!A:A,Customers!B:B)</f>
        <v>Nguyen</v>
      </c>
      <c r="G23" t="str">
        <f>_xlfn.XLOOKUP(E:E,Customers!A:A,Customers!C:C)</f>
        <v>Retail</v>
      </c>
      <c r="H23" t="str">
        <f>_xlfn.XLOOKUP(E:E,Customers!A:A,Customers!D:D)</f>
        <v>HCMC</v>
      </c>
      <c r="I23" t="s">
        <v>64</v>
      </c>
      <c r="J23" t="str">
        <f>_xlfn.XLOOKUP(I:I,Products!B:B,Products!E:E)</f>
        <v>Laptop</v>
      </c>
      <c r="K23">
        <v>1</v>
      </c>
      <c r="L23">
        <f t="shared" si="0"/>
        <v>22960</v>
      </c>
      <c r="M23" s="3">
        <v>0.18</v>
      </c>
      <c r="N23" t="s">
        <v>42</v>
      </c>
      <c r="O23" t="str">
        <f t="shared" si="1"/>
        <v>Normal</v>
      </c>
      <c r="P23">
        <f>_xlfn.SINGLE(_xlfn.XLOOKUP(I23,Products!B:B,Products!C:C,"Not Found"))</f>
        <v>28000</v>
      </c>
      <c r="Q23">
        <f>_xlfn.XLOOKUP(I:I,Products!B:B,Products!D:D)</f>
        <v>24000</v>
      </c>
      <c r="R23" s="4">
        <f t="shared" si="2"/>
        <v>22960</v>
      </c>
      <c r="S23">
        <f t="shared" si="5"/>
        <v>-1040</v>
      </c>
      <c r="T23">
        <f t="shared" si="6"/>
        <v>-4.5296167247386762E-2</v>
      </c>
    </row>
    <row r="24" spans="1:20" x14ac:dyDescent="0.3">
      <c r="A24">
        <v>23</v>
      </c>
      <c r="B24" s="10">
        <v>46106</v>
      </c>
      <c r="C24">
        <f t="shared" si="3"/>
        <v>2026</v>
      </c>
      <c r="D24">
        <f t="shared" si="4"/>
        <v>3</v>
      </c>
      <c r="E24">
        <v>109</v>
      </c>
      <c r="F24" t="str">
        <f>_xlfn.XLOOKUP(E:E,Customers!A:A,Customers!B:B)</f>
        <v>Tu Anh Logistics</v>
      </c>
      <c r="G24" t="str">
        <f>_xlfn.XLOOKUP(E:E,Customers!A:A,Customers!C:C)</f>
        <v>Enterprise</v>
      </c>
      <c r="H24" t="str">
        <f>_xlfn.XLOOKUP(E:E,Customers!A:A,Customers!D:D)</f>
        <v>Da Nang</v>
      </c>
      <c r="I24" t="s">
        <v>63</v>
      </c>
      <c r="J24" t="str">
        <f>_xlfn.XLOOKUP(I:I,Products!B:B,Products!E:E)</f>
        <v>Laptop</v>
      </c>
      <c r="K24">
        <v>2</v>
      </c>
      <c r="L24">
        <f t="shared" si="0"/>
        <v>25000</v>
      </c>
      <c r="M24" s="3">
        <v>0</v>
      </c>
      <c r="N24" t="s">
        <v>41</v>
      </c>
      <c r="O24" t="str">
        <f t="shared" si="1"/>
        <v>Normal</v>
      </c>
      <c r="P24">
        <f>_xlfn.SINGLE(_xlfn.XLOOKUP(I24,Products!B:B,Products!C:C,"Not Found"))</f>
        <v>25000</v>
      </c>
      <c r="Q24">
        <f>_xlfn.XLOOKUP(I:I,Products!B:B,Products!D:D)</f>
        <v>21000</v>
      </c>
      <c r="R24" s="4">
        <f t="shared" si="2"/>
        <v>50000</v>
      </c>
      <c r="S24">
        <f t="shared" si="5"/>
        <v>8000</v>
      </c>
      <c r="T24">
        <f t="shared" si="6"/>
        <v>0.16</v>
      </c>
    </row>
    <row r="25" spans="1:20" x14ac:dyDescent="0.3">
      <c r="A25">
        <v>24</v>
      </c>
      <c r="B25" s="10">
        <v>46079</v>
      </c>
      <c r="C25">
        <f t="shared" si="3"/>
        <v>2026</v>
      </c>
      <c r="D25">
        <f t="shared" si="4"/>
        <v>2</v>
      </c>
      <c r="E25">
        <v>108</v>
      </c>
      <c r="F25" t="str">
        <f>_xlfn.XLOOKUP(E:E,Customers!A:A,Customers!B:B)</f>
        <v>Kien Mart</v>
      </c>
      <c r="G25" t="str">
        <f>_xlfn.XLOOKUP(E:E,Customers!A:A,Customers!C:C)</f>
        <v>Retail</v>
      </c>
      <c r="H25" t="str">
        <f>_xlfn.XLOOKUP(E:E,Customers!A:A,Customers!D:D)</f>
        <v>Hue</v>
      </c>
      <c r="I25" t="s">
        <v>61</v>
      </c>
      <c r="J25" t="str">
        <f>_xlfn.XLOOKUP(I:I,Products!B:B,Products!E:E)</f>
        <v>Tablet</v>
      </c>
      <c r="K25">
        <v>9</v>
      </c>
      <c r="L25">
        <f t="shared" si="0"/>
        <v>14240</v>
      </c>
      <c r="M25" s="3">
        <v>0.11</v>
      </c>
      <c r="N25" t="s">
        <v>68</v>
      </c>
      <c r="O25" t="str">
        <f t="shared" si="1"/>
        <v>Normal</v>
      </c>
      <c r="P25">
        <f>_xlfn.SINGLE(_xlfn.XLOOKUP(I25,Products!B:B,Products!C:C,"Not Found"))</f>
        <v>16000</v>
      </c>
      <c r="Q25">
        <f>_xlfn.XLOOKUP(I:I,Products!B:B,Products!D:D)</f>
        <v>13000</v>
      </c>
      <c r="R25" s="4">
        <f t="shared" si="2"/>
        <v>128160</v>
      </c>
      <c r="S25">
        <f t="shared" si="5"/>
        <v>11160</v>
      </c>
      <c r="T25">
        <f>S25/R25</f>
        <v>8.7078651685393263E-2</v>
      </c>
    </row>
    <row r="26" spans="1:20" x14ac:dyDescent="0.3">
      <c r="A26">
        <v>25</v>
      </c>
      <c r="B26" s="10">
        <v>46080</v>
      </c>
      <c r="C26">
        <f t="shared" si="3"/>
        <v>2026</v>
      </c>
      <c r="D26">
        <f t="shared" si="4"/>
        <v>2</v>
      </c>
      <c r="E26">
        <v>110</v>
      </c>
      <c r="F26" t="str">
        <f>_xlfn.XLOOKUP(E:E,Customers!A:A,Customers!B:B)</f>
        <v>Huy</v>
      </c>
      <c r="G26" t="str">
        <f>_xlfn.XLOOKUP(E:E,Customers!A:A,Customers!C:C)</f>
        <v>Retail</v>
      </c>
      <c r="H26" t="str">
        <f>_xlfn.XLOOKUP(E:E,Customers!A:A,Customers!D:D)</f>
        <v>Thanh Hoa</v>
      </c>
      <c r="I26" t="s">
        <v>62</v>
      </c>
      <c r="J26" t="str">
        <f>_xlfn.XLOOKUP(I:I,Products!B:B,Products!E:E)</f>
        <v>Tablet</v>
      </c>
      <c r="K26">
        <v>6</v>
      </c>
      <c r="L26">
        <f t="shared" si="0"/>
        <v>13020</v>
      </c>
      <c r="M26" s="3">
        <v>7.0000000000000007E-2</v>
      </c>
      <c r="N26" t="s">
        <v>43</v>
      </c>
      <c r="O26" t="str">
        <f t="shared" si="1"/>
        <v>Normal</v>
      </c>
      <c r="P26">
        <f>_xlfn.SINGLE(_xlfn.XLOOKUP(I26,Products!B:B,Products!C:C,"Not Found"))</f>
        <v>14000</v>
      </c>
      <c r="Q26">
        <f>_xlfn.XLOOKUP(I:I,Products!B:B,Products!D:D)</f>
        <v>11000</v>
      </c>
      <c r="R26" s="4">
        <f t="shared" si="2"/>
        <v>78120</v>
      </c>
      <c r="S26">
        <f t="shared" si="5"/>
        <v>12120</v>
      </c>
      <c r="T26">
        <f t="shared" si="6"/>
        <v>0.15514592933947774</v>
      </c>
    </row>
    <row r="27" spans="1:20" x14ac:dyDescent="0.3">
      <c r="A27">
        <v>26</v>
      </c>
      <c r="B27" s="10">
        <v>46050</v>
      </c>
      <c r="C27">
        <f t="shared" si="3"/>
        <v>2026</v>
      </c>
      <c r="D27">
        <f t="shared" si="4"/>
        <v>1</v>
      </c>
      <c r="E27">
        <v>114</v>
      </c>
      <c r="F27" t="str">
        <f>_xlfn.XLOOKUP(E:E,Customers!A:A,Customers!B:B)</f>
        <v>Vy</v>
      </c>
      <c r="G27" t="str">
        <f>_xlfn.XLOOKUP(E:E,Customers!A:A,Customers!C:C)</f>
        <v>Retail</v>
      </c>
      <c r="H27" t="str">
        <f>_xlfn.XLOOKUP(E:E,Customers!A:A,Customers!D:D)</f>
        <v>Hanoi</v>
      </c>
      <c r="I27" t="s">
        <v>62</v>
      </c>
      <c r="J27" t="str">
        <f>_xlfn.XLOOKUP(I:I,Products!B:B,Products!E:E)</f>
        <v>Tablet</v>
      </c>
      <c r="K27">
        <v>4</v>
      </c>
      <c r="L27">
        <f t="shared" si="0"/>
        <v>12180</v>
      </c>
      <c r="M27" s="3">
        <v>0.13</v>
      </c>
      <c r="N27" t="s">
        <v>71</v>
      </c>
      <c r="O27" t="str">
        <f t="shared" si="1"/>
        <v>Normal</v>
      </c>
      <c r="P27">
        <f>_xlfn.SINGLE(_xlfn.XLOOKUP(I27,Products!B:B,Products!C:C,"Not Found"))</f>
        <v>14000</v>
      </c>
      <c r="Q27">
        <f>_xlfn.XLOOKUP(I:I,Products!B:B,Products!D:D)</f>
        <v>11000</v>
      </c>
      <c r="R27" s="4">
        <f t="shared" si="2"/>
        <v>48720</v>
      </c>
      <c r="S27">
        <f t="shared" si="5"/>
        <v>4720</v>
      </c>
      <c r="T27">
        <f t="shared" si="6"/>
        <v>9.688013136288999E-2</v>
      </c>
    </row>
    <row r="28" spans="1:20" x14ac:dyDescent="0.3">
      <c r="A28">
        <v>27</v>
      </c>
      <c r="B28" s="10">
        <v>46051</v>
      </c>
      <c r="C28">
        <f t="shared" si="3"/>
        <v>2026</v>
      </c>
      <c r="D28">
        <f t="shared" si="4"/>
        <v>1</v>
      </c>
      <c r="E28">
        <v>106</v>
      </c>
      <c r="F28" t="str">
        <f>_xlfn.XLOOKUP(E:E,Customers!A:A,Customers!B:B)</f>
        <v>Hoang Tech</v>
      </c>
      <c r="G28" t="str">
        <f>_xlfn.XLOOKUP(E:E,Customers!A:A,Customers!C:C)</f>
        <v>SME</v>
      </c>
      <c r="H28" t="str">
        <f>_xlfn.XLOOKUP(E:E,Customers!A:A,Customers!D:D)</f>
        <v>Hai Phong</v>
      </c>
      <c r="I28" t="s">
        <v>64</v>
      </c>
      <c r="J28" t="str">
        <f>_xlfn.XLOOKUP(I:I,Products!B:B,Products!E:E)</f>
        <v>Laptop</v>
      </c>
      <c r="K28">
        <v>10</v>
      </c>
      <c r="L28">
        <f t="shared" si="0"/>
        <v>26600</v>
      </c>
      <c r="M28" s="3">
        <v>0.05</v>
      </c>
      <c r="N28" t="s">
        <v>39</v>
      </c>
      <c r="O28" t="str">
        <f t="shared" si="1"/>
        <v>Bulk</v>
      </c>
      <c r="P28">
        <f>_xlfn.SINGLE(_xlfn.XLOOKUP(I28,Products!B:B,Products!C:C,"Not Found"))</f>
        <v>28000</v>
      </c>
      <c r="Q28">
        <f>_xlfn.XLOOKUP(I:I,Products!B:B,Products!D:D)</f>
        <v>24000</v>
      </c>
      <c r="R28" s="4">
        <f t="shared" si="2"/>
        <v>266000</v>
      </c>
      <c r="S28">
        <f t="shared" si="5"/>
        <v>26000</v>
      </c>
      <c r="T28">
        <f t="shared" si="6"/>
        <v>9.7744360902255634E-2</v>
      </c>
    </row>
    <row r="29" spans="1:20" x14ac:dyDescent="0.3">
      <c r="A29">
        <v>28</v>
      </c>
      <c r="B29" s="10">
        <v>46052</v>
      </c>
      <c r="C29">
        <f t="shared" si="3"/>
        <v>2026</v>
      </c>
      <c r="D29">
        <f t="shared" si="4"/>
        <v>1</v>
      </c>
      <c r="E29">
        <v>103</v>
      </c>
      <c r="F29" t="str">
        <f>_xlfn.XLOOKUP(E:E,Customers!A:A,Customers!B:B)</f>
        <v>Pham Group</v>
      </c>
      <c r="G29" t="str">
        <f>_xlfn.XLOOKUP(E:E,Customers!A:A,Customers!C:C)</f>
        <v>Enterprise</v>
      </c>
      <c r="H29" t="str">
        <f>_xlfn.XLOOKUP(E:E,Customers!A:A,Customers!D:D)</f>
        <v>Hanoi</v>
      </c>
      <c r="I29" t="s">
        <v>63</v>
      </c>
      <c r="J29" t="str">
        <f>_xlfn.XLOOKUP(I:I,Products!B:B,Products!E:E)</f>
        <v>Laptop</v>
      </c>
      <c r="K29">
        <v>7</v>
      </c>
      <c r="L29">
        <f t="shared" si="0"/>
        <v>22750</v>
      </c>
      <c r="M29" s="3">
        <v>0.09</v>
      </c>
      <c r="N29" t="s">
        <v>69</v>
      </c>
      <c r="O29" t="str">
        <f t="shared" si="1"/>
        <v>Normal</v>
      </c>
      <c r="P29">
        <f>_xlfn.SINGLE(_xlfn.XLOOKUP(I29,Products!B:B,Products!C:C,"Not Found"))</f>
        <v>25000</v>
      </c>
      <c r="Q29">
        <f>_xlfn.XLOOKUP(I:I,Products!B:B,Products!D:D)</f>
        <v>21000</v>
      </c>
      <c r="R29" s="4">
        <f t="shared" si="2"/>
        <v>159250</v>
      </c>
      <c r="S29">
        <f t="shared" si="5"/>
        <v>12250</v>
      </c>
      <c r="T29">
        <f t="shared" si="6"/>
        <v>7.6923076923076927E-2</v>
      </c>
    </row>
    <row r="30" spans="1:20" x14ac:dyDescent="0.3">
      <c r="A30">
        <v>29</v>
      </c>
      <c r="B30" s="10">
        <v>46053</v>
      </c>
      <c r="C30">
        <f t="shared" si="3"/>
        <v>2026</v>
      </c>
      <c r="D30">
        <f t="shared" si="4"/>
        <v>1</v>
      </c>
      <c r="E30">
        <v>105</v>
      </c>
      <c r="F30" t="str">
        <f>_xlfn.XLOOKUP(E:E,Customers!A:A,Customers!B:B)</f>
        <v>Lan Office</v>
      </c>
      <c r="G30" t="str">
        <f>_xlfn.XLOOKUP(E:E,Customers!A:A,Customers!C:C)</f>
        <v>SME</v>
      </c>
      <c r="H30" t="str">
        <f>_xlfn.XLOOKUP(E:E,Customers!A:A,Customers!D:D)</f>
        <v>HCMC</v>
      </c>
      <c r="I30" t="s">
        <v>54</v>
      </c>
      <c r="J30" t="str">
        <f>_xlfn.XLOOKUP(I:I,Products!B:B,Products!E:E)</f>
        <v>Furniture</v>
      </c>
      <c r="K30">
        <v>1</v>
      </c>
      <c r="L30">
        <f t="shared" si="0"/>
        <v>1455</v>
      </c>
      <c r="M30" s="3">
        <v>0</v>
      </c>
      <c r="N30" t="s">
        <v>42</v>
      </c>
      <c r="O30" t="str">
        <f t="shared" si="1"/>
        <v>Normal</v>
      </c>
      <c r="P30">
        <f>_xlfn.SINGLE(_xlfn.XLOOKUP(I30,Products!B:B,Products!C:C,"Not Found"))</f>
        <v>1455</v>
      </c>
      <c r="Q30">
        <f>_xlfn.XLOOKUP(I:I,Products!B:B,Products!D:D)</f>
        <v>1200</v>
      </c>
      <c r="R30" s="4">
        <f t="shared" si="2"/>
        <v>1455</v>
      </c>
      <c r="S30">
        <f t="shared" si="5"/>
        <v>255</v>
      </c>
      <c r="T30">
        <f t="shared" si="6"/>
        <v>0.17525773195876287</v>
      </c>
    </row>
    <row r="31" spans="1:20" x14ac:dyDescent="0.3">
      <c r="A31">
        <v>30</v>
      </c>
      <c r="B31" s="10">
        <v>46030</v>
      </c>
      <c r="C31">
        <f t="shared" si="3"/>
        <v>2026</v>
      </c>
      <c r="D31">
        <f t="shared" si="4"/>
        <v>1</v>
      </c>
      <c r="E31">
        <v>112</v>
      </c>
      <c r="F31" t="str">
        <f>_xlfn.XLOOKUP(E:E,Customers!A:A,Customers!B:B)</f>
        <v>Trang Nguyen Store</v>
      </c>
      <c r="G31" t="str">
        <f>_xlfn.XLOOKUP(E:E,Customers!A:A,Customers!C:C)</f>
        <v>Retail</v>
      </c>
      <c r="H31" t="str">
        <f>_xlfn.XLOOKUP(E:E,Customers!A:A,Customers!D:D)</f>
        <v>Long An</v>
      </c>
      <c r="I31" t="s">
        <v>63</v>
      </c>
      <c r="J31" t="str">
        <f>_xlfn.XLOOKUP(I:I,Products!B:B,Products!E:E)</f>
        <v>Laptop</v>
      </c>
      <c r="K31">
        <v>6</v>
      </c>
      <c r="L31">
        <f t="shared" si="0"/>
        <v>22500</v>
      </c>
      <c r="M31" s="3">
        <v>0.1</v>
      </c>
      <c r="N31" t="s">
        <v>71</v>
      </c>
      <c r="O31" t="str">
        <f t="shared" si="1"/>
        <v>Normal</v>
      </c>
      <c r="P31">
        <f>_xlfn.SINGLE(_xlfn.XLOOKUP(I31,Products!B:B,Products!C:C,"Not Found"))</f>
        <v>25000</v>
      </c>
      <c r="Q31">
        <f>_xlfn.XLOOKUP(I:I,Products!B:B,Products!D:D)</f>
        <v>21000</v>
      </c>
      <c r="R31" s="4">
        <f t="shared" si="2"/>
        <v>135000</v>
      </c>
      <c r="S31">
        <f t="shared" si="5"/>
        <v>9000</v>
      </c>
      <c r="T31">
        <f t="shared" si="6"/>
        <v>6.6666666666666666E-2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FAD7-C93E-42BF-8DB3-5B3C39BF67CC}">
  <dimension ref="A2:H24"/>
  <sheetViews>
    <sheetView workbookViewId="0">
      <selection activeCell="P12" sqref="P12"/>
    </sheetView>
  </sheetViews>
  <sheetFormatPr defaultRowHeight="14.4" x14ac:dyDescent="0.3"/>
  <cols>
    <col min="1" max="1" width="10.77734375" bestFit="1" customWidth="1"/>
    <col min="2" max="2" width="27" customWidth="1"/>
    <col min="5" max="5" width="23.5546875" customWidth="1"/>
    <col min="6" max="6" width="17" bestFit="1" customWidth="1"/>
    <col min="8" max="8" width="12.88671875" customWidth="1"/>
    <col min="9" max="9" width="12.5546875" bestFit="1" customWidth="1"/>
    <col min="10" max="10" width="11.6640625" bestFit="1" customWidth="1"/>
    <col min="11" max="11" width="11.109375" bestFit="1" customWidth="1"/>
    <col min="12" max="13" width="11.6640625" bestFit="1" customWidth="1"/>
  </cols>
  <sheetData>
    <row r="2" spans="1:8" x14ac:dyDescent="0.3">
      <c r="A2" s="12" t="s">
        <v>93</v>
      </c>
      <c r="B2" s="12"/>
    </row>
    <row r="3" spans="1:8" x14ac:dyDescent="0.3">
      <c r="A3" s="7" t="s">
        <v>90</v>
      </c>
      <c r="B3" t="s">
        <v>83</v>
      </c>
      <c r="D3" s="12" t="s">
        <v>96</v>
      </c>
      <c r="E3" s="12"/>
    </row>
    <row r="4" spans="1:8" x14ac:dyDescent="0.3">
      <c r="A4" s="8" t="s">
        <v>73</v>
      </c>
      <c r="B4" s="4">
        <v>797800</v>
      </c>
      <c r="D4" s="7" t="s">
        <v>26</v>
      </c>
      <c r="E4" t="s">
        <v>95</v>
      </c>
      <c r="G4" s="7" t="s">
        <v>2</v>
      </c>
      <c r="H4" t="s">
        <v>83</v>
      </c>
    </row>
    <row r="5" spans="1:8" x14ac:dyDescent="0.3">
      <c r="A5" s="8" t="s">
        <v>87</v>
      </c>
      <c r="B5" s="4">
        <v>610425</v>
      </c>
      <c r="D5" s="8" t="s">
        <v>53</v>
      </c>
      <c r="E5" s="17">
        <v>167260</v>
      </c>
      <c r="G5" s="8" t="s">
        <v>5</v>
      </c>
      <c r="H5" s="4">
        <v>1502497</v>
      </c>
    </row>
    <row r="6" spans="1:8" x14ac:dyDescent="0.3">
      <c r="A6" s="8" t="s">
        <v>86</v>
      </c>
      <c r="B6" s="4">
        <v>564930</v>
      </c>
      <c r="D6" s="8" t="s">
        <v>60</v>
      </c>
      <c r="E6" s="17">
        <v>49200</v>
      </c>
      <c r="G6" s="8" t="s">
        <v>11</v>
      </c>
      <c r="H6" s="4">
        <v>1406579.6</v>
      </c>
    </row>
    <row r="7" spans="1:8" x14ac:dyDescent="0.3">
      <c r="A7" s="8" t="s">
        <v>84</v>
      </c>
      <c r="B7" s="4">
        <v>410720</v>
      </c>
      <c r="D7" s="8" t="s">
        <v>28</v>
      </c>
      <c r="E7" s="17">
        <v>26040</v>
      </c>
      <c r="G7" s="8" t="s">
        <v>8</v>
      </c>
      <c r="H7" s="4">
        <v>427080</v>
      </c>
    </row>
    <row r="8" spans="1:8" x14ac:dyDescent="0.3">
      <c r="A8" s="8" t="s">
        <v>75</v>
      </c>
      <c r="B8" s="4">
        <v>305550</v>
      </c>
      <c r="D8" s="8" t="s">
        <v>55</v>
      </c>
      <c r="E8" s="17">
        <v>18960</v>
      </c>
      <c r="G8" s="8" t="s">
        <v>72</v>
      </c>
      <c r="H8" s="4">
        <v>3336156.6</v>
      </c>
    </row>
    <row r="9" spans="1:8" x14ac:dyDescent="0.3">
      <c r="A9" s="8" t="s">
        <v>85</v>
      </c>
      <c r="B9" s="4">
        <v>249749.6</v>
      </c>
      <c r="D9" s="8" t="s">
        <v>31</v>
      </c>
      <c r="E9" s="17">
        <v>1896.5999999999985</v>
      </c>
    </row>
    <row r="10" spans="1:8" x14ac:dyDescent="0.3">
      <c r="A10" s="8" t="s">
        <v>88</v>
      </c>
      <c r="B10" s="4">
        <v>206280</v>
      </c>
      <c r="D10" s="8" t="s">
        <v>72</v>
      </c>
      <c r="E10" s="17">
        <v>263356.59999999998</v>
      </c>
    </row>
    <row r="11" spans="1:8" x14ac:dyDescent="0.3">
      <c r="A11" s="8" t="s">
        <v>78</v>
      </c>
      <c r="B11" s="4">
        <v>119039.99999999999</v>
      </c>
    </row>
    <row r="12" spans="1:8" x14ac:dyDescent="0.3">
      <c r="A12" s="8" t="s">
        <v>74</v>
      </c>
      <c r="B12" s="4">
        <v>30600</v>
      </c>
      <c r="G12" s="7" t="s">
        <v>80</v>
      </c>
      <c r="H12" s="8">
        <v>2025</v>
      </c>
    </row>
    <row r="13" spans="1:8" x14ac:dyDescent="0.3">
      <c r="A13" s="8" t="s">
        <v>89</v>
      </c>
      <c r="B13" s="4">
        <v>15312</v>
      </c>
      <c r="G13" s="12" t="s">
        <v>98</v>
      </c>
      <c r="H13" s="12"/>
    </row>
    <row r="14" spans="1:8" x14ac:dyDescent="0.3">
      <c r="A14" s="8" t="s">
        <v>76</v>
      </c>
      <c r="B14" s="4">
        <v>14550</v>
      </c>
      <c r="D14" s="12" t="s">
        <v>97</v>
      </c>
      <c r="E14" s="12"/>
      <c r="G14" s="7" t="s">
        <v>94</v>
      </c>
      <c r="H14" t="s">
        <v>83</v>
      </c>
    </row>
    <row r="15" spans="1:8" x14ac:dyDescent="0.3">
      <c r="A15" s="8" t="s">
        <v>77</v>
      </c>
      <c r="B15" s="4">
        <v>11200</v>
      </c>
      <c r="D15" s="7" t="s">
        <v>91</v>
      </c>
      <c r="E15" t="s">
        <v>92</v>
      </c>
      <c r="G15" s="8" t="s">
        <v>47</v>
      </c>
      <c r="H15" s="4">
        <v>665978</v>
      </c>
    </row>
    <row r="16" spans="1:8" x14ac:dyDescent="0.3">
      <c r="A16" s="8" t="s">
        <v>72</v>
      </c>
      <c r="B16" s="4">
        <v>3336156.6</v>
      </c>
      <c r="D16" s="8" t="s">
        <v>64</v>
      </c>
      <c r="E16" s="4">
        <v>1087520</v>
      </c>
      <c r="G16" s="8" t="s">
        <v>40</v>
      </c>
      <c r="H16" s="4">
        <v>537800</v>
      </c>
    </row>
    <row r="17" spans="4:8" x14ac:dyDescent="0.3">
      <c r="D17" s="8" t="s">
        <v>65</v>
      </c>
      <c r="E17" s="4">
        <v>778050</v>
      </c>
      <c r="G17" s="8" t="s">
        <v>43</v>
      </c>
      <c r="H17" s="4">
        <v>409230</v>
      </c>
    </row>
    <row r="18" spans="4:8" x14ac:dyDescent="0.3">
      <c r="D18" s="8" t="s">
        <v>63</v>
      </c>
      <c r="E18" s="4">
        <v>344250</v>
      </c>
      <c r="G18" s="8" t="s">
        <v>39</v>
      </c>
      <c r="H18" s="4">
        <v>112000</v>
      </c>
    </row>
    <row r="19" spans="4:8" x14ac:dyDescent="0.3">
      <c r="D19" s="8" t="s">
        <v>61</v>
      </c>
      <c r="E19" s="4">
        <v>240160</v>
      </c>
      <c r="G19" s="8" t="s">
        <v>69</v>
      </c>
      <c r="H19" s="4">
        <v>57420</v>
      </c>
    </row>
    <row r="20" spans="4:8" x14ac:dyDescent="0.3">
      <c r="D20" s="8" t="s">
        <v>66</v>
      </c>
      <c r="E20" s="4">
        <v>183960</v>
      </c>
      <c r="G20" s="8" t="s">
        <v>70</v>
      </c>
      <c r="H20" s="4">
        <v>45912</v>
      </c>
    </row>
    <row r="21" spans="4:8" x14ac:dyDescent="0.3">
      <c r="D21" s="8" t="s">
        <v>72</v>
      </c>
      <c r="E21" s="4">
        <v>2633940</v>
      </c>
      <c r="G21" s="8" t="s">
        <v>42</v>
      </c>
      <c r="H21" s="4">
        <v>31900</v>
      </c>
    </row>
    <row r="22" spans="4:8" x14ac:dyDescent="0.3">
      <c r="G22" s="8" t="s">
        <v>71</v>
      </c>
      <c r="H22" s="4">
        <v>11200</v>
      </c>
    </row>
    <row r="23" spans="4:8" x14ac:dyDescent="0.3">
      <c r="G23" s="8" t="s">
        <v>41</v>
      </c>
      <c r="H23" s="4">
        <v>10941.599999999999</v>
      </c>
    </row>
    <row r="24" spans="4:8" x14ac:dyDescent="0.3">
      <c r="G24" s="8" t="s">
        <v>72</v>
      </c>
      <c r="H24" s="4">
        <v>1882381.6</v>
      </c>
    </row>
  </sheetData>
  <mergeCells count="4">
    <mergeCell ref="A2:B2"/>
    <mergeCell ref="D3:E3"/>
    <mergeCell ref="G13:H13"/>
    <mergeCell ref="D14:E14"/>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755C-AEF6-4CB9-BBE0-4AA057A905CF}">
  <dimension ref="A1:M31"/>
  <sheetViews>
    <sheetView showGridLines="0" workbookViewId="0">
      <selection activeCell="O41" sqref="O41"/>
    </sheetView>
  </sheetViews>
  <sheetFormatPr defaultRowHeight="14.4" x14ac:dyDescent="0.3"/>
  <cols>
    <col min="1" max="1" width="24.5546875" customWidth="1"/>
    <col min="2" max="2" width="15.77734375" customWidth="1"/>
  </cols>
  <sheetData>
    <row r="1" spans="1:2" ht="21" x14ac:dyDescent="0.4">
      <c r="A1" s="18" t="s">
        <v>100</v>
      </c>
    </row>
    <row r="2" spans="1:2" ht="15.6" x14ac:dyDescent="0.3">
      <c r="A2" s="14" t="s">
        <v>99</v>
      </c>
      <c r="B2" s="13">
        <f>SUM(Analysis!R:R)</f>
        <v>3336156.6</v>
      </c>
    </row>
    <row r="3" spans="1:2" ht="15.6" x14ac:dyDescent="0.3">
      <c r="A3" s="15" t="s">
        <v>101</v>
      </c>
      <c r="B3" s="13">
        <f>SUM(Analysis!S:S)</f>
        <v>263356.59999999998</v>
      </c>
    </row>
    <row r="4" spans="1:2" ht="15.6" x14ac:dyDescent="0.3">
      <c r="A4" s="16" t="s">
        <v>102</v>
      </c>
      <c r="B4">
        <f>SUM(Analysis!A:A)</f>
        <v>465</v>
      </c>
    </row>
    <row r="23" spans="13:13" x14ac:dyDescent="0.3">
      <c r="M23" t="s">
        <v>103</v>
      </c>
    </row>
    <row r="25" spans="13:13" x14ac:dyDescent="0.3">
      <c r="M25" t="s">
        <v>104</v>
      </c>
    </row>
    <row r="27" spans="13:13" x14ac:dyDescent="0.3">
      <c r="M27" t="s">
        <v>105</v>
      </c>
    </row>
    <row r="29" spans="13:13" x14ac:dyDescent="0.3">
      <c r="M29" t="s">
        <v>106</v>
      </c>
    </row>
    <row r="31" spans="13:13" x14ac:dyDescent="0.3">
      <c r="M31" t="s">
        <v>107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Orders</vt:lpstr>
      <vt:lpstr>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nguyenbui0158@gmail.com</cp:lastModifiedBy>
  <dcterms:created xsi:type="dcterms:W3CDTF">2026-03-30T11:57:32Z</dcterms:created>
  <dcterms:modified xsi:type="dcterms:W3CDTF">2026-04-13T12:27:10Z</dcterms:modified>
</cp:coreProperties>
</file>